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ession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<sst xmlns="http://schemas.openxmlformats.org/spreadsheetml/2006/main" count="56" uniqueCount="56">
  <si>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Markup Pricing Calculator: Building Expressions</t>
  </si>
  <si>
    <t>A boutique wants to see, as a formula it can later optimize, how its selling price turns into profit once unit cost, expected quantity sold, a planned marketing discount, and a one-time signing bonus are all taken into account.</t>
  </si>
  <si>
    <t>cvxx expressions are lazy: each CVX.* call below returns a handle representing a formula, not yet a number. The price itself is still a variable (it hasn't been decided), so nothing here evaluates to a dollar amount until a problem built from it is solved.</t>
  </si>
  <si>
    <t>Known value</t>
  </si>
  <si>
    <t>Amount</t>
  </si>
  <si>
    <t>Notes</t>
  </si>
  <si>
    <t>Unit cost ($)</t>
  </si>
  <si>
    <t>What it costs the boutique to make one unit.</t>
  </si>
  <si>
    <t>Expected quantity sold</t>
  </si>
  <si>
    <t>Units expected to sell this season.</t>
  </si>
  <si>
    <t>Marketing discount ($)</t>
  </si>
  <si>
    <t>A planned one-time promotional discount.</t>
  </si>
  <si>
    <t>Signing bonus ($)</t>
  </si>
  <si>
    <t>A one-time bonus from a new wholesale partner.</t>
  </si>
  <si>
    <t>Step</t>
  </si>
  <si>
    <t>Formula</t>
  </si>
  <si>
    <t>What it does</t>
  </si>
  <si>
    <t>1. Create a variable for the selling price</t>
  </si>
  <si>
    <t>The per-unit selling price has not been decided yet.</t>
  </si>
  <si>
    <t>2. Store the unit cost as a parameter</t>
  </si>
  <si>
    <t>The cost per unit is known in advance.</t>
  </si>
  <si>
    <t>3. Store the expected quantity as a parameter</t>
  </si>
  <si>
    <t>The expected sales volume is known in advance.</t>
  </si>
  <si>
    <t>4. Store the marketing discount as a parameter</t>
  </si>
  <si>
    <t>The planned discount is a known, fixed amount.</t>
  </si>
  <si>
    <t>5. Store the signing bonus as a parameter</t>
  </si>
  <si>
    <t>The one-time bonus is a known, fixed amount.</t>
  </si>
  <si>
    <t>6. Margin per unit (string grammar)</t>
  </si>
  <si>
    <t>Selling price minus unit cost, written as a string expression.</t>
  </si>
  <si>
    <t>7. Gross margin (functional MUL builder)</t>
  </si>
  <si>
    <t>Margin per unit times expected quantity, built from handles instead of a string.</t>
  </si>
  <si>
    <t>8. Total cost (functional MUL builder)</t>
  </si>
  <si>
    <t>Unit cost times expected quantity.</t>
  </si>
  <si>
    <t>9. Margin ratio (functional DIV builder)</t>
  </si>
  <si>
    <t>Gross margin divided by total cost.</t>
  </si>
  <si>
    <t>10. Discount expressed as a negative cash flow (NEG builder)</t>
  </si>
  <si>
    <t>Flips the sign of the discount so it can be added like any other cash flow.</t>
  </si>
  <si>
    <t>11. Net margin after the discount (functional ADD builder)</t>
  </si>
  <si>
    <t>Gross margin plus the (now negative) discount.</t>
  </si>
  <si>
    <t>12. Net margin plus the signing bonus (functional ADD builder)</t>
  </si>
  <si>
    <t>Adds the one-time wholesale signing bonus to the net margin.</t>
  </si>
  <si>
    <t>13. After-tax contribution (SCALE builder)</t>
  </si>
  <si>
    <t>Scales the total contribution by 0.9 to approximate a 10% tax.</t>
  </si>
  <si>
    <t>14. Frame it as a maximization objective</t>
  </si>
  <si>
    <t>Objectives are built the same way expressions are; solving them is covered in 04-problems-and-solving.xlsx and 05-quadratic-problems.xlsx.</t>
  </si>
  <si>
    <t>Answer</t>
  </si>
  <si>
    <t>Value</t>
  </si>
  <si>
    <t>What it means</t>
  </si>
  <si>
    <t>Describe the after-tax contribution expression</t>
  </si>
  <si>
    <t>Shows the full expression tree built from the 14 steps above.</t>
  </si>
  <si>
    <t>Describe the maximization objective</t>
  </si>
  <si>
    <t>Confirms the objective wraps the same expression for maximization.</t>
  </si>
  <si>
    <t>Confirm the price handle is a variable</t>
  </si>
  <si>
    <t>The price itself started life as a CVX.VARIABLE in step 1.</t>
  </si>
  <si>
    <t>Describe the margin ratio expression</t>
  </si>
  <si>
    <t>Confirms the functional DIV builder from step 9 produces a single division node.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</si>
</sst>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18</v>
      </c>
      <c r="F6" s="2" t="s">
        <v>7</v>
      </c>
    </row>
    <row r="7" spans="1:6">
      <c r="A7" s="4" t="s">
        <v>8</v>
      </c>
      <c r="B7" s="5">
        <v>350</v>
      </c>
      <c r="F7" s="2" t="s">
        <v>9</v>
      </c>
    </row>
    <row r="8" spans="1:6">
      <c r="A8" s="4" t="s">
        <v>10</v>
      </c>
      <c r="B8" s="5">
        <v>250</v>
      </c>
      <c r="F8" s="2" t="s">
        <v>11</v>
      </c>
    </row>
    <row r="9" spans="1:6">
      <c r="A9" s="4" t="s">
        <v>12</v>
      </c>
      <c r="B9" s="5">
        <v>500</v>
      </c>
      <c r="F9" s="2" t="s">
        <v>13</v>
      </c>
    </row>
    <row r="11" spans="1:6">
      <c r="A11" s="3" t="s">
        <v>14</v>
      </c>
      <c r="B11" s="3" t="s">
        <v>15</v>
      </c>
      <c r="C11" s="3"/>
      <c r="D11" s="3"/>
      <c r="E11" s="3"/>
      <c r="F11" s="3" t="s">
        <v>16</v>
      </c>
    </row>
    <row r="12" spans="1:6">
      <c r="A12" s="4" t="s">
        <v>17</v>
      </c>
      <c r="B12" s="6">
        <f>CVX.VARIABLE(1,1,"price")</f>
        <v>0</v>
      </c>
      <c r="F12" s="2" t="s">
        <v>18</v>
      </c>
    </row>
    <row r="13" spans="1:6">
      <c r="A13" s="4" t="s">
        <v>19</v>
      </c>
      <c r="B13" s="6">
        <f>CVX.PARAMETER(B6,"unit_cost")</f>
        <v>0</v>
      </c>
      <c r="F13" s="2" t="s">
        <v>20</v>
      </c>
    </row>
    <row r="14" spans="1:6">
      <c r="A14" s="4" t="s">
        <v>21</v>
      </c>
      <c r="B14" s="6">
        <f>CVX.PARAMETER(B7,"quantity")</f>
        <v>0</v>
      </c>
      <c r="F14" s="2" t="s">
        <v>22</v>
      </c>
    </row>
    <row r="15" spans="1:6">
      <c r="A15" s="4" t="s">
        <v>23</v>
      </c>
      <c r="B15" s="6">
        <f>CVX.PARAMETER(B8,"discount_amount")</f>
        <v>0</v>
      </c>
      <c r="F15" s="2" t="s">
        <v>24</v>
      </c>
    </row>
    <row r="16" spans="1:6">
      <c r="A16" s="4" t="s">
        <v>25</v>
      </c>
      <c r="B16" s="6">
        <f>CVX.PARAMETER(B9,"signing_bonus")</f>
        <v>0</v>
      </c>
      <c r="F16" s="2" t="s">
        <v>26</v>
      </c>
    </row>
    <row r="17" spans="1:6">
      <c r="A17" s="4" t="s">
        <v>27</v>
      </c>
      <c r="B17" s="6">
        <f>CVX.EXPRESSION("price - unit_cost","margin_per_unit")</f>
        <v>0</v>
      </c>
      <c r="F17" s="2" t="s">
        <v>28</v>
      </c>
    </row>
    <row r="18" spans="1:6">
      <c r="A18" s="4" t="s">
        <v>29</v>
      </c>
      <c r="B18" s="6">
        <f>CVX.MUL(B17,B14,"gross_margin")</f>
        <v>0</v>
      </c>
      <c r="F18" s="2" t="s">
        <v>30</v>
      </c>
    </row>
    <row r="19" spans="1:6">
      <c r="A19" s="4" t="s">
        <v>31</v>
      </c>
      <c r="B19" s="6">
        <f>CVX.MUL(B13,B14,"total_cost")</f>
        <v>0</v>
      </c>
      <c r="F19" s="2" t="s">
        <v>32</v>
      </c>
    </row>
    <row r="20" spans="1:6">
      <c r="A20" s="4" t="s">
        <v>33</v>
      </c>
      <c r="B20" s="6">
        <f>CVX.DIV(B18,B19,"margin_ratio")</f>
        <v>0</v>
      </c>
      <c r="F20" s="2" t="s">
        <v>34</v>
      </c>
    </row>
    <row r="21" spans="1:6">
      <c r="A21" s="4" t="s">
        <v>35</v>
      </c>
      <c r="B21" s="6">
        <f>CVX.NEG(B15,"discount_as_cost")</f>
        <v>0</v>
      </c>
      <c r="F21" s="2" t="s">
        <v>36</v>
      </c>
    </row>
    <row r="22" spans="1:6">
      <c r="A22" s="4" t="s">
        <v>37</v>
      </c>
      <c r="B22" s="6">
        <f>CVX.ADD(B18,B21,"net_margin")</f>
        <v>0</v>
      </c>
      <c r="F22" s="2" t="s">
        <v>38</v>
      </c>
    </row>
    <row r="23" spans="1:6">
      <c r="A23" s="4" t="s">
        <v>39</v>
      </c>
      <c r="B23" s="6">
        <f>CVX.ADD(B22,B16,"contribution")</f>
        <v>0</v>
      </c>
      <c r="F23" s="2" t="s">
        <v>40</v>
      </c>
    </row>
    <row r="24" spans="1:6">
      <c r="A24" s="4" t="s">
        <v>41</v>
      </c>
      <c r="B24" s="6">
        <f>CVX.SCALE(B23,0.9,"contribution_after_tax")</f>
        <v>0</v>
      </c>
      <c r="F24" s="2" t="s">
        <v>42</v>
      </c>
    </row>
    <row r="25" spans="1:6">
      <c r="A25" s="4" t="s">
        <v>43</v>
      </c>
      <c r="B25" s="6">
        <f>CVX.MAXIMIZE(B24,"maximize_contribution")</f>
        <v>0</v>
      </c>
      <c r="F25" s="2" t="s">
        <v>44</v>
      </c>
    </row>
    <row r="27" spans="1:6">
      <c r="A27" s="3" t="s">
        <v>45</v>
      </c>
      <c r="B27" s="3" t="s">
        <v>46</v>
      </c>
      <c r="C27" s="3"/>
      <c r="D27" s="3"/>
      <c r="E27" s="3"/>
      <c r="F27" s="3" t="s">
        <v>47</v>
      </c>
    </row>
    <row r="28" spans="1:6">
      <c r="A28" s="4" t="s">
        <v>48</v>
      </c>
      <c r="B28" s="7">
        <f>CVX.DESCRIBE(B24)</f>
        <v>0</v>
      </c>
      <c r="F28" s="2" t="s">
        <v>49</v>
      </c>
    </row>
    <row r="29" spans="1:6">
      <c r="A29" s="4" t="s">
        <v>50</v>
      </c>
      <c r="B29" s="7">
        <f>CVX.DESCRIBE(B25)</f>
        <v>0</v>
      </c>
      <c r="F29" s="2" t="s">
        <v>51</v>
      </c>
    </row>
    <row r="30" spans="1:6">
      <c r="A30" s="4" t="s">
        <v>52</v>
      </c>
      <c r="B30" s="7">
        <f>CVX.TYPE(B12)</f>
        <v>0</v>
      </c>
      <c r="F30" s="2" t="s">
        <v>53</v>
      </c>
    </row>
    <row r="31" spans="1:6">
      <c r="A31" s="4" t="s">
        <v>54</v>
      </c>
      <c r="B31" s="7">
        <f>CVX.DESCRIBE(B20)</f>
        <v>0</v>
      </c>
      <c r="F31" s="2" t="s">
        <v>55</v>
      </c>
    </row>
  </sheetData>
  <mergeCells count="6">
    <mergeCell ref="A1:F1"/>
    <mergeCell ref="A2:F2"/>
    <mergeCell ref="A3:F3"/>
    <mergeCell ref="B5:E5"/>
    <mergeCell ref="B11:E11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2026-10-03T06:27:45Z</dcterms:created>
  <dcterms:modified xsi:type="dcterms:W3CDTF">2026-10-03T06:27:45Z</dcterms:modified>
</cp:coreProperties>
</file>