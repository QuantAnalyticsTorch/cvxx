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Selection" sheetId="1" r:id="rId1"/>
  </sheets>
  <calcPr calcId="124519" fullCalcOnLoad="1"/>
</workbook>
</file>

<file path=xl/sharedStrings.xml><?xml version="1.0" encoding="utf-8"?>
<sst xmlns="http://schemas.openxmlformats.org/spreadsheetml/2006/main" count="64" uniqueCount="62">
  <si>
    <t>Project Selection: Mixed-Integer Programming</t>
  </si>
  <si>
    <t>A manager has four candidate projects, each with an upfront cost and an expected value, and a fixed budget. Each project is either fully funded or not at all — there is no such thing as funding 40% of a project — so the decision for each one is a yes/no (binary) choice, not a continuous fraction.</t>
  </si>
  <si>
    <t>cvxx models a yes/no decision as a variable restricted to the binary domain {0, 1} with CVX.BINARY (see CVX.INTEGER for whole-number decisions like truck counts, which allow any integer rather than just 0 and 1). Passing a CVX.BINARY/CVX.INTEGER handle into CVX.CONSTRAINTS or CVX.PROBLEM alongside ordinary constraints routes the problem to cvxx's mixed-integer solver path instead of its continuous one.</t>
  </si>
  <si>
    <t>Known value</t>
  </si>
  <si>
    <t>Value(s)</t>
  </si>
  <si>
    <t>Notes</t>
  </si>
  <si>
    <t>Project cost ($k)</t>
  </si>
  <si>
    <t>Upfront cost of projects 1 through 4, in thousands of dollars.</t>
  </si>
  <si>
    <t>Project expected value ($k)</t>
  </si>
  <si>
    <t>Expected value delivered by projects 1 through 4, in thousands of dollars.</t>
  </si>
  <si>
    <t>Total budget ($k)</t>
  </si>
  <si>
    <t>The most the manager can spend across every funded project.</t>
  </si>
  <si>
    <t>Step</t>
  </si>
  <si>
    <t>Formula</t>
  </si>
  <si>
    <t>What it does</t>
  </si>
  <si>
    <t>1. Create a 4x1 variable for the funding decisions</t>
  </si>
  <si>
    <t>selected(i) will be 1 if project i is funded, 0 otherwise.</t>
  </si>
  <si>
    <t>2. Store the project costs as a parameter</t>
  </si>
  <si>
    <t>A 4x1 parameter vector.</t>
  </si>
  <si>
    <t>3. Store the project values as a parameter</t>
  </si>
  <si>
    <t>4. Store the budget as a parameter</t>
  </si>
  <si>
    <t>The spending limit across every funded project.</t>
  </si>
  <si>
    <t>5. Total spend across funded projects</t>
  </si>
  <si>
    <t>Entrywise-multiplies each project's cost by its funding decision, then sums them.</t>
  </si>
  <si>
    <t>6. Total value across funded projects</t>
  </si>
  <si>
    <t>Entrywise-multiplies each project's value by its funding decision, then sums them.</t>
  </si>
  <si>
    <t>7. Restrict every funding decision to yes/no</t>
  </si>
  <si>
    <t>Each entry of selected must be exactly 0 or 1, not a fraction in between.</t>
  </si>
  <si>
    <t>8. Budget constraint</t>
  </si>
  <si>
    <t>The total cost of funded projects cannot exceed the budget.</t>
  </si>
  <si>
    <t>9. Combine the binary domain and the constraint into one set</t>
  </si>
  <si>
    <t>CVX.CONSTRAINTS accepts both ordinary constraint handles and domain handles from CVX.BINARY/CVX.INTEGER in the same range.</t>
  </si>
  <si>
    <t>10. Frame total value as a maximization objective</t>
  </si>
  <si>
    <t>The goal is the highest-value set of projects the budget allows.</t>
  </si>
  <si>
    <t>11. Assemble the problem</t>
  </si>
  <si>
    <t>Combining a CVX.BINARY-referencing constraint set routes this problem to cvxx's mixed-integer solver instead of its continuous one.</t>
  </si>
  <si>
    <t>12. Solve it</t>
  </si>
  <si>
    <t>Runs the mixed-integer solver and returns a handle to the result.</t>
  </si>
  <si>
    <t>Answer</t>
  </si>
  <si>
    <t>What it means</t>
  </si>
  <si>
    <t>Solve status</t>
  </si>
  <si>
    <t>"optimal" means the highest-value funding plan within budget was proven optimal (see 04-problems-and-solving.xlsx for cvxx's other possible statuses, and docs/problems.md for "stopped_at_limit", which can occur on harder mixed-integer problems).</t>
  </si>
  <si>
    <t>Maximized total value ($k)</t>
  </si>
  <si>
    <t>The best achievable total project value within the budget.</t>
  </si>
  <si>
    <t>Funding decisions (projects 1-4)</t>
  </si>
  <si>
    <t>Spills across four cells: 1 means fund the project, 0 means skip it.</t>
  </si>
  <si>
    <t>Describe the binary domain</t>
  </si>
  <si>
    <t>Confirms the domain handle from step 7 restricts the whole selected variable.</t>
  </si>
  <si>
    <t>Describe the total-cost expression</t>
  </si>
  <si>
    <t>Shows the expression built in step 5 that the budget constraint's string formula refers to by name.</t>
  </si>
  <si>
    <t>Binary domain handle type</t>
  </si>
  <si>
    <t>Confirms the handle from step 7 is a domain, not a constraint.</t>
  </si>
  <si>
    <t>Describe the budget constraint</t>
  </si>
  <si>
    <t>Confirms the ordinary constraint from step 8 is part of the set solved above.</t>
  </si>
  <si>
    <t>Describe the budget parameter</t>
  </si>
  <si>
    <t>The named parameter the budget constraint's string formula refers to.</t>
  </si>
  <si>
    <t>Total-value expression type</t>
  </si>
  <si>
    <t>Confirms the handle from step 6 is an expression.</t>
  </si>
  <si>
    <t>Project-cost parameter shape</t>
  </si>
  <si>
    <t>Confirms the project-cost parameter is a 4x1 column vector.</t>
  </si>
  <si>
    <t>Project-value parameter shape</t>
  </si>
  <si>
    <t>Confirms the project-value parameter is a 4x1 column vector.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</si>
</sst>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3" fillId="4" borderId="0" xfId="0" applyFont="1" applyFill="1"/>
    <xf numFmtId="0" fontId="4" fillId="0" borderId="0" xfId="0" applyFont="1" applyAlignment="1">
      <alignment vertical="top"/>
    </xf>
    <xf numFmtId="0" fontId="2" fillId="5" borderId="0" xfId="0" applyFont="1" applyFill="1"/>
    <xf numFmtId="0" fontId="5" fillId="3" borderId="0" xfId="0" applyFont="1" applyFill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5" width="18.7109375" customWidth="1"/>
    <col min="6" max="6" width="58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33.75" customHeight="1">
      <c r="A2" s="2" t="s">
        <v>1</v>
      </c>
      <c r="B2" s="2"/>
      <c r="C2" s="2"/>
      <c r="D2" s="2"/>
      <c r="E2" s="2"/>
      <c r="F2" s="2"/>
    </row>
    <row r="3" spans="1:6" ht="33.75" customHeight="1">
      <c r="A3" s="2" t="s">
        <v>2</v>
      </c>
      <c r="B3" s="2"/>
      <c r="C3" s="2"/>
      <c r="D3" s="2"/>
      <c r="E3" s="2"/>
      <c r="F3" s="2"/>
    </row>
    <row r="5" spans="1:6">
      <c r="A5" s="3" t="s">
        <v>3</v>
      </c>
      <c r="B5" s="3" t="s">
        <v>4</v>
      </c>
      <c r="C5" s="3"/>
      <c r="D5" s="3"/>
      <c r="E5" s="3"/>
      <c r="F5" s="3" t="s">
        <v>5</v>
      </c>
    </row>
    <row r="6" spans="1:6">
      <c r="A6" s="4" t="s">
        <v>6</v>
      </c>
      <c r="B6" s="5">
        <v>40</v>
      </c>
      <c r="F6" s="2" t="s">
        <v>7</v>
      </c>
    </row>
    <row r="7" spans="1:6">
      <c r="B7" s="5">
        <v>50</v>
      </c>
    </row>
    <row r="8" spans="1:6">
      <c r="B8" s="5">
        <v>30</v>
      </c>
    </row>
    <row r="9" spans="1:6">
      <c r="B9" s="5">
        <v>70</v>
      </c>
    </row>
    <row r="10" spans="1:6">
      <c r="A10" s="4" t="s">
        <v>8</v>
      </c>
      <c r="B10" s="5">
        <v>70</v>
      </c>
      <c r="F10" s="2" t="s">
        <v>9</v>
      </c>
    </row>
    <row r="11" spans="1:6">
      <c r="B11" s="5">
        <v>65</v>
      </c>
    </row>
    <row r="12" spans="1:6">
      <c r="B12" s="5">
        <v>50</v>
      </c>
    </row>
    <row r="13" spans="1:6">
      <c r="B13" s="5">
        <v>110</v>
      </c>
    </row>
    <row r="14" spans="1:6">
      <c r="A14" s="4" t="s">
        <v>10</v>
      </c>
      <c r="B14" s="5">
        <v>100</v>
      </c>
      <c r="F14" s="2" t="s">
        <v>11</v>
      </c>
    </row>
    <row r="16" spans="1:6">
      <c r="A16" s="3" t="s">
        <v>12</v>
      </c>
      <c r="B16" s="3" t="s">
        <v>13</v>
      </c>
      <c r="C16" s="3"/>
      <c r="D16" s="3"/>
      <c r="E16" s="3"/>
      <c r="F16" s="3" t="s">
        <v>14</v>
      </c>
    </row>
    <row r="17" spans="1:6">
      <c r="A17" s="4" t="s">
        <v>15</v>
      </c>
      <c r="B17" s="6">
        <f>CVX.VARIABLE(4,1,"selected")</f>
        <v>0</v>
      </c>
      <c r="F17" s="2" t="s">
        <v>16</v>
      </c>
    </row>
    <row r="18" spans="1:6">
      <c r="A18" s="4" t="s">
        <v>17</v>
      </c>
      <c r="B18" s="6">
        <f>CVX.PARAMETER(B6:B9,"project_cost")</f>
        <v>0</v>
      </c>
      <c r="F18" s="2" t="s">
        <v>18</v>
      </c>
    </row>
    <row r="19" spans="1:6">
      <c r="A19" s="4" t="s">
        <v>19</v>
      </c>
      <c r="B19" s="6">
        <f>CVX.PARAMETER(B10:B13,"project_value")</f>
        <v>0</v>
      </c>
      <c r="F19" s="2" t="s">
        <v>18</v>
      </c>
    </row>
    <row r="20" spans="1:6">
      <c r="A20" s="4" t="s">
        <v>20</v>
      </c>
      <c r="B20" s="6">
        <f>CVX.PARAMETER(B14,"budget")</f>
        <v>0</v>
      </c>
      <c r="F20" s="2" t="s">
        <v>21</v>
      </c>
    </row>
    <row r="21" spans="1:6">
      <c r="A21" s="4" t="s">
        <v>22</v>
      </c>
      <c r="B21" s="6">
        <f>CVX.EXPRESSION("sum(project_cost * selected)","total_cost")</f>
        <v>0</v>
      </c>
      <c r="F21" s="2" t="s">
        <v>23</v>
      </c>
    </row>
    <row r="22" spans="1:6">
      <c r="A22" s="4" t="s">
        <v>24</v>
      </c>
      <c r="B22" s="6">
        <f>CVX.EXPRESSION("sum(project_value * selected)","total_value")</f>
        <v>0</v>
      </c>
      <c r="F22" s="2" t="s">
        <v>25</v>
      </c>
    </row>
    <row r="23" spans="1:6">
      <c r="A23" s="4" t="s">
        <v>26</v>
      </c>
      <c r="B23" s="6">
        <f>CVX.BINARY(B17,"selected_is_binary")</f>
        <v>0</v>
      </c>
      <c r="F23" s="2" t="s">
        <v>27</v>
      </c>
    </row>
    <row r="24" spans="1:6">
      <c r="A24" s="4" t="s">
        <v>28</v>
      </c>
      <c r="B24" s="6">
        <f>CVX.CONSTRAINT("total_cost &lt;= budget","within_budget")</f>
        <v>0</v>
      </c>
      <c r="F24" s="2" t="s">
        <v>29</v>
      </c>
    </row>
    <row r="25" spans="1:6">
      <c r="A25" s="4" t="s">
        <v>30</v>
      </c>
      <c r="B25" s="6">
        <f>CVX.CONSTRAINTS(B23:B24,"selection_constraints")</f>
        <v>0</v>
      </c>
      <c r="F25" s="2" t="s">
        <v>31</v>
      </c>
    </row>
    <row r="26" spans="1:6">
      <c r="A26" s="4" t="s">
        <v>32</v>
      </c>
      <c r="B26" s="6">
        <f>CVX.MAXIMIZE(B22,"maximize_value")</f>
        <v>0</v>
      </c>
      <c r="F26" s="2" t="s">
        <v>33</v>
      </c>
    </row>
    <row r="27" spans="1:6">
      <c r="A27" s="4" t="s">
        <v>34</v>
      </c>
      <c r="B27" s="6">
        <f>CVX.PROBLEM(B26,B25,"selection_problem")</f>
        <v>0</v>
      </c>
      <c r="F27" s="2" t="s">
        <v>35</v>
      </c>
    </row>
    <row r="28" spans="1:6">
      <c r="A28" s="4" t="s">
        <v>36</v>
      </c>
      <c r="B28" s="6">
        <f>CVX.SOLVE(B27,"selection_result")</f>
        <v>0</v>
      </c>
      <c r="F28" s="2" t="s">
        <v>37</v>
      </c>
    </row>
    <row r="30" spans="1:6">
      <c r="A30" s="3" t="s">
        <v>38</v>
      </c>
      <c r="B30" s="3" t="s">
        <v>4</v>
      </c>
      <c r="C30" s="3"/>
      <c r="D30" s="3"/>
      <c r="E30" s="3"/>
      <c r="F30" s="3" t="s">
        <v>39</v>
      </c>
    </row>
    <row r="31" spans="1:6">
      <c r="A31" s="4" t="s">
        <v>40</v>
      </c>
      <c r="B31" s="7">
        <f>CVX.STATUS(B28)</f>
        <v>0</v>
      </c>
      <c r="F31" s="2" t="s">
        <v>41</v>
      </c>
    </row>
    <row r="32" spans="1:6">
      <c r="A32" s="4" t="s">
        <v>42</v>
      </c>
      <c r="B32" s="7">
        <f>CVX.OBJECTIVE_VALUE(B28)</f>
        <v>0</v>
      </c>
      <c r="F32" s="2" t="s">
        <v>43</v>
      </c>
    </row>
    <row r="33" spans="1:6">
      <c r="A33" s="4" t="s">
        <v>44</v>
      </c>
      <c r="B33" s="7">
        <f>CVX.VALUE(B28,B17)</f>
        <v>0</v>
      </c>
      <c r="F33" s="2" t="s">
        <v>45</v>
      </c>
    </row>
    <row r="34" spans="1:6">
      <c r="A34" s="4" t="s">
        <v>46</v>
      </c>
      <c r="B34" s="7">
        <f>CVX.DESCRIBE(B23)</f>
        <v>0</v>
      </c>
      <c r="F34" s="2" t="s">
        <v>47</v>
      </c>
    </row>
    <row r="35" spans="1:6">
      <c r="A35" s="4" t="s">
        <v>48</v>
      </c>
      <c r="B35" s="7">
        <f>CVX.DESCRIBE(B21)</f>
        <v>0</v>
      </c>
      <c r="F35" s="2" t="s">
        <v>49</v>
      </c>
    </row>
    <row r="36" spans="1:6">
      <c r="A36" s="4" t="s">
        <v>50</v>
      </c>
      <c r="B36" s="7">
        <f>CVX.TYPE(B23)</f>
        <v>0</v>
      </c>
      <c r="F36" s="2" t="s">
        <v>51</v>
      </c>
    </row>
    <row r="37" spans="1:6">
      <c r="A37" s="4" t="s">
        <v>52</v>
      </c>
      <c r="B37" s="7">
        <f>CVX.DESCRIBE(B24)</f>
        <v>0</v>
      </c>
      <c r="F37" s="2" t="s">
        <v>53</v>
      </c>
    </row>
    <row r="38" spans="1:6">
      <c r="A38" s="4" t="s">
        <v>54</v>
      </c>
      <c r="B38" s="7">
        <f>CVX.DESCRIBE(B20)</f>
        <v>0</v>
      </c>
      <c r="F38" s="2" t="s">
        <v>55</v>
      </c>
    </row>
    <row r="39" spans="1:6">
      <c r="A39" s="4" t="s">
        <v>56</v>
      </c>
      <c r="B39" s="7">
        <f>CVX.TYPE(B22)</f>
        <v>0</v>
      </c>
      <c r="F39" s="2" t="s">
        <v>57</v>
      </c>
    </row>
    <row r="40" spans="1:6">
      <c r="A40" s="4" t="s">
        <v>58</v>
      </c>
      <c r="B40" s="7">
        <f>CVX.SHAPE(B18)</f>
        <v>0</v>
      </c>
      <c r="F40" s="2" t="s">
        <v>59</v>
      </c>
    </row>
    <row r="41" spans="1:6">
      <c r="A41" s="4" t="s">
        <v>60</v>
      </c>
      <c r="B41" s="7">
        <f>CVX.SHAPE(B19)</f>
        <v>0</v>
      </c>
      <c r="F41" s="2" t="s">
        <v>61</v>
      </c>
    </row>
  </sheetData>
  <mergeCells count="6">
    <mergeCell ref="A1:F1"/>
    <mergeCell ref="A2:F2"/>
    <mergeCell ref="A3:F3"/>
    <mergeCell ref="B5:E5"/>
    <mergeCell ref="B16:E16"/>
    <mergeCell ref="B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2026-10-07T14:11:06Z</dcterms:created>
  <dcterms:modified xsi:type="dcterms:W3CDTF">2026-10-07T14:11:06Z</dcterms:modified>
</cp:coreProperties>
</file>