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raint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<sst xmlns="http://schemas.openxmlformats.org/spreadsheetml/2006/main" count="46" uniqueCount="46">
  <si>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Factory Production Limits: Building Constraints</t>
  </si>
  <si>
    <t>A small factory makes two products on shared machines. It cannot run the machines more than a fixed number of hours a week, must make at least a minimum batch of product 1 to satisfy a standing order, and has an exact production quota for product 2 from a signed contract.</t>
  </si>
  <si>
    <t>This workbook expresses each of those business rules as a cvxx constraint, then combines them into a single constraint set ready to hand to a problem (see 04-problems-and-solving.xlsx for how a constraint set is actually solved against).</t>
  </si>
  <si>
    <t>Known value</t>
  </si>
  <si>
    <t>Amount</t>
  </si>
  <si>
    <t>Notes</t>
  </si>
  <si>
    <t>Weekly machine-hours available</t>
  </si>
  <si>
    <t>Total shared machine capacity per week, in hours.</t>
  </si>
  <si>
    <t>Minimum units of product 1</t>
  </si>
  <si>
    <t>Standing order that must always be satisfied.</t>
  </si>
  <si>
    <t>Exact units of product 2</t>
  </si>
  <si>
    <t>Fixed quota from a signed supply contract.</t>
  </si>
  <si>
    <t>Step</t>
  </si>
  <si>
    <t>Formula</t>
  </si>
  <si>
    <t>What it does</t>
  </si>
  <si>
    <t>1. Create a variable for product 1's weekly output</t>
  </si>
  <si>
    <t>Units of product 1 to produce this week.</t>
  </si>
  <si>
    <t>2. Create a variable for product 2's weekly output</t>
  </si>
  <si>
    <t>Units of product 2 to produce this week.</t>
  </si>
  <si>
    <t>3. Store the machine-hour limit as a parameter</t>
  </si>
  <si>
    <t>One hour of machine time is needed per unit of either product.</t>
  </si>
  <si>
    <t>4. Store the product 2 quota as a parameter</t>
  </si>
  <si>
    <t>The supply contract's fixed quota for product 2.</t>
  </si>
  <si>
    <t>5. Capacity constraint (string grammar)</t>
  </si>
  <si>
    <t>Total output cannot exceed the available machine-hours.</t>
  </si>
  <si>
    <t>6. Minimum order constraint (functional GREATER_THAN builder)</t>
  </si>
  <si>
    <t>Product 1 output must satisfy the standing order.</t>
  </si>
  <si>
    <t>7. Exact quota constraint (functional EQUAL builder)</t>
  </si>
  <si>
    <t>Product 2 output must match the contract exactly.</t>
  </si>
  <si>
    <t>8. Non-negativity for product 1 (functional LESS_THAN builder)</t>
  </si>
  <si>
    <t>Output cannot be negative.</t>
  </si>
  <si>
    <t>9. Combine every constraint into one set</t>
  </si>
  <si>
    <t>Collects the capacity, minimum-order, exact-quota, and non-negativity constraints into one handle, ready to pass to CVX.PROBLEM.</t>
  </si>
  <si>
    <t>Answer</t>
  </si>
  <si>
    <t>Value</t>
  </si>
  <si>
    <t>What it means</t>
  </si>
  <si>
    <t>Describe the constraint set</t>
  </si>
  <si>
    <t>Lists every constraint that was combined into the set.</t>
  </si>
  <si>
    <t>Constraint set type</t>
  </si>
  <si>
    <t>Confirms the handle is a constraint_set, not a single constraint.</t>
  </si>
  <si>
    <t>Describe the minimum-order constraint</t>
  </si>
  <si>
    <t>Shows the individual constraint built with CVX.GREATER_THAN in step 5.</t>
  </si>
  <si>
    <t>Describe the exact-quota constraint</t>
  </si>
  <si>
    <t>Shows the individual constraint built with CVX.EQUAL in step 7.</t>
  </si>
  <si>
    <t>Describe the machine-hour parameter</t>
  </si>
  <si>
    <t>The named parameter the capacity constraint's string formula refers to.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</si>
</sst>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3" fillId="4" borderId="0" xfId="0" applyFont="1" applyFill="1"/>
    <xf numFmtId="0" fontId="4" fillId="0" borderId="0" xfId="0" applyFont="1" applyAlignment="1">
      <alignment vertical="top"/>
    </xf>
    <xf numFmtId="0" fontId="2" fillId="5" borderId="0" xfId="0" applyFont="1" applyFill="1"/>
    <xf numFmtId="0" fontId="5" fillId="3" borderId="0" xfId="0" applyFont="1" applyFill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5" width="18.7109375" customWidth="1"/>
    <col min="6" max="6" width="58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33.75" customHeight="1">
      <c r="A2" s="2" t="s">
        <v>1</v>
      </c>
      <c r="B2" s="2"/>
      <c r="C2" s="2"/>
      <c r="D2" s="2"/>
      <c r="E2" s="2"/>
      <c r="F2" s="2"/>
    </row>
    <row r="3" spans="1:6" ht="33.75" customHeight="1">
      <c r="A3" s="2" t="s">
        <v>2</v>
      </c>
      <c r="B3" s="2"/>
      <c r="C3" s="2"/>
      <c r="D3" s="2"/>
      <c r="E3" s="2"/>
      <c r="F3" s="2"/>
    </row>
    <row r="5" spans="1:6">
      <c r="A5" s="3" t="s">
        <v>3</v>
      </c>
      <c r="B5" s="3" t="s">
        <v>4</v>
      </c>
      <c r="C5" s="3"/>
      <c r="D5" s="3"/>
      <c r="E5" s="3"/>
      <c r="F5" s="3" t="s">
        <v>5</v>
      </c>
    </row>
    <row r="6" spans="1:6">
      <c r="A6" s="4" t="s">
        <v>6</v>
      </c>
      <c r="B6" s="5">
        <v>480</v>
      </c>
      <c r="F6" s="2" t="s">
        <v>7</v>
      </c>
    </row>
    <row r="7" spans="1:6">
      <c r="A7" s="4" t="s">
        <v>8</v>
      </c>
      <c r="B7" s="5">
        <v>50</v>
      </c>
      <c r="F7" s="2" t="s">
        <v>9</v>
      </c>
    </row>
    <row r="8" spans="1:6">
      <c r="A8" s="4" t="s">
        <v>10</v>
      </c>
      <c r="B8" s="5">
        <v>120</v>
      </c>
      <c r="F8" s="2" t="s">
        <v>11</v>
      </c>
    </row>
    <row r="10" spans="1:6">
      <c r="A10" s="3" t="s">
        <v>12</v>
      </c>
      <c r="B10" s="3" t="s">
        <v>13</v>
      </c>
      <c r="C10" s="3"/>
      <c r="D10" s="3"/>
      <c r="E10" s="3"/>
      <c r="F10" s="3" t="s">
        <v>14</v>
      </c>
    </row>
    <row r="11" spans="1:6">
      <c r="A11" s="4" t="s">
        <v>15</v>
      </c>
      <c r="B11" s="6">
        <f>CVX.VARIABLE(1,1,"product1")</f>
        <v>0</v>
      </c>
      <c r="F11" s="2" t="s">
        <v>16</v>
      </c>
    </row>
    <row r="12" spans="1:6">
      <c r="A12" s="4" t="s">
        <v>17</v>
      </c>
      <c r="B12" s="6">
        <f>CVX.VARIABLE(1,1,"product2")</f>
        <v>0</v>
      </c>
      <c r="F12" s="2" t="s">
        <v>18</v>
      </c>
    </row>
    <row r="13" spans="1:6">
      <c r="A13" s="4" t="s">
        <v>19</v>
      </c>
      <c r="B13" s="6">
        <f>CVX.PARAMETER(B6,"machine_hours_limit")</f>
        <v>0</v>
      </c>
      <c r="F13" s="2" t="s">
        <v>20</v>
      </c>
    </row>
    <row r="14" spans="1:6">
      <c r="A14" s="4" t="s">
        <v>21</v>
      </c>
      <c r="B14" s="6">
        <f>CVX.PARAMETER(B8,"product2_quota")</f>
        <v>0</v>
      </c>
      <c r="F14" s="2" t="s">
        <v>22</v>
      </c>
    </row>
    <row r="15" spans="1:6">
      <c r="A15" s="4" t="s">
        <v>23</v>
      </c>
      <c r="B15" s="6">
        <f>CVX.CONSTRAINT("product1 + product2 &lt;= machine_hours_limit","capacity")</f>
        <v>0</v>
      </c>
      <c r="F15" s="2" t="s">
        <v>24</v>
      </c>
    </row>
    <row r="16" spans="1:6">
      <c r="A16" s="4" t="s">
        <v>25</v>
      </c>
      <c r="B16" s="6">
        <f>CVX.GREATER_THAN(B11,B7,"min_product1")</f>
        <v>0</v>
      </c>
      <c r="F16" s="2" t="s">
        <v>26</v>
      </c>
    </row>
    <row r="17" spans="1:6">
      <c r="A17" s="4" t="s">
        <v>27</v>
      </c>
      <c r="B17" s="6">
        <f>CVX.EQUAL(B12,B14,"exact_quota")</f>
        <v>0</v>
      </c>
      <c r="F17" s="2" t="s">
        <v>28</v>
      </c>
    </row>
    <row r="18" spans="1:6">
      <c r="A18" s="4" t="s">
        <v>29</v>
      </c>
      <c r="B18" s="6">
        <f>CVX.LESS_THAN(0,B11,"product1_nonneg")</f>
        <v>0</v>
      </c>
      <c r="F18" s="2" t="s">
        <v>30</v>
      </c>
    </row>
    <row r="19" spans="1:6">
      <c r="A19" s="4" t="s">
        <v>31</v>
      </c>
      <c r="B19" s="6">
        <f>CVX.CONSTRAINTS(B15:B18,"production_constraints")</f>
        <v>0</v>
      </c>
      <c r="F19" s="2" t="s">
        <v>32</v>
      </c>
    </row>
    <row r="21" spans="1:6">
      <c r="A21" s="3" t="s">
        <v>33</v>
      </c>
      <c r="B21" s="3" t="s">
        <v>34</v>
      </c>
      <c r="C21" s="3"/>
      <c r="D21" s="3"/>
      <c r="E21" s="3"/>
      <c r="F21" s="3" t="s">
        <v>35</v>
      </c>
    </row>
    <row r="22" spans="1:6">
      <c r="A22" s="4" t="s">
        <v>36</v>
      </c>
      <c r="B22" s="7">
        <f>CVX.DESCRIBE(B19)</f>
        <v>0</v>
      </c>
      <c r="F22" s="2" t="s">
        <v>37</v>
      </c>
    </row>
    <row r="23" spans="1:6">
      <c r="A23" s="4" t="s">
        <v>38</v>
      </c>
      <c r="B23" s="7">
        <f>CVX.TYPE(B19)</f>
        <v>0</v>
      </c>
      <c r="F23" s="2" t="s">
        <v>39</v>
      </c>
    </row>
    <row r="24" spans="1:6">
      <c r="A24" s="4" t="s">
        <v>40</v>
      </c>
      <c r="B24" s="7">
        <f>CVX.DESCRIBE(B16)</f>
        <v>0</v>
      </c>
      <c r="F24" s="2" t="s">
        <v>41</v>
      </c>
    </row>
    <row r="25" spans="1:6">
      <c r="A25" s="4" t="s">
        <v>42</v>
      </c>
      <c r="B25" s="7">
        <f>CVX.DESCRIBE(B17)</f>
        <v>0</v>
      </c>
      <c r="F25" s="2" t="s">
        <v>43</v>
      </c>
    </row>
    <row r="26" spans="1:6">
      <c r="A26" s="4" t="s">
        <v>44</v>
      </c>
      <c r="B26" s="7">
        <f>CVX.DESCRIBE(B13)</f>
        <v>0</v>
      </c>
      <c r="F26" s="2" t="s">
        <v>45</v>
      </c>
    </row>
  </sheetData>
  <mergeCells count="6">
    <mergeCell ref="A1:F1"/>
    <mergeCell ref="A2:F2"/>
    <mergeCell ref="A3:F3"/>
    <mergeCell ref="B5:E5"/>
    <mergeCell ref="B10:E1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Constraints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2026-10-07T14:11:06Z</dcterms:created>
  <dcterms:modified xsi:type="dcterms:W3CDTF">2026-10-07T14:11:06Z</dcterms:modified>
</cp:coreProperties>
</file>