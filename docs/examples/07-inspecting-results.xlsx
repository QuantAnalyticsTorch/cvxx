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pecting Results" sheetId="1" r:id="rId1"/>
  </sheets>
  <calcPr calcId="124519" fullCalcOnLoad="1"/>
</workbook>
</file>

<file path=xl/sharedStrings.xml><?xml version="1.0" encoding="utf-8"?>
<sst xmlns="http://schemas.openxmlformats.org/spreadsheetml/2006/main" count="78" uniqueCount="74">
  <si>
    <t>Inspecting Results: Reading Back a Solved Problem</t>
  </si>
  <si>
    <t>Once a cvxx problem has been solved, the result handle it returns carries the solve status, the objective value, and every decision variable's solved value(s) — but only CVX.STATUS/CVX.OBJECTIVE_VALUE/ CVX.VALUE know how to read them back.</t>
  </si>
  <si>
    <t>This workbook re-builds the same small diet problem introduced in 04-problems-and-solving.xlsx, then spends most of its space on the six inspection functions (CVX.VALUE, CVX.STATUS, CVX.OBJECTIVE_VALUE, CVX.DESCRIBE, CVX.SHAPE, CVX.TYPE), applied to every kind of handle involved: the variable, the problem, the objective, and the result itself.</t>
  </si>
  <si>
    <t>Known value</t>
  </si>
  <si>
    <t>Amount</t>
  </si>
  <si>
    <t>Notes</t>
  </si>
  <si>
    <t>Cost per unit of bread ($)</t>
  </si>
  <si>
    <t>Cost per unit of milk ($)</t>
  </si>
  <si>
    <t>Minimum weekly protein (g) and calories</t>
  </si>
  <si>
    <t>Same recap scenario as 04-problems-and-solving.xlsx: 6g/8g protein and 120/150 calories per unit of bread/milk, minimum 600 weekly calories.</t>
  </si>
  <si>
    <t>Recap: rebuild and solve the diet problem</t>
  </si>
  <si>
    <t>Formula</t>
  </si>
  <si>
    <t>What it does</t>
  </si>
  <si>
    <t>1. Variable: units of bread</t>
  </si>
  <si>
    <t>Units of bread to buy this week.</t>
  </si>
  <si>
    <t>2. Variable: units of milk</t>
  </si>
  <si>
    <t>Units of milk to buy this week.</t>
  </si>
  <si>
    <t>3. Expression: weekly cost</t>
  </si>
  <si>
    <t>Total dollars spent as a function of bread and milk quantities.</t>
  </si>
  <si>
    <t>4. Constraint: protein requirement</t>
  </si>
  <si>
    <t>Total protein from both foods must meet the weekly minimum.</t>
  </si>
  <si>
    <t>5. Constraint: calorie requirement</t>
  </si>
  <si>
    <t>Total calories from both foods must meet the weekly minimum.</t>
  </si>
  <si>
    <t>6. Constraint: bread non-negativity</t>
  </si>
  <si>
    <t>Cannot buy a negative amount of bread.</t>
  </si>
  <si>
    <t>7. Constraint: milk non-negativity</t>
  </si>
  <si>
    <t>Cannot buy a negative amount of milk.</t>
  </si>
  <si>
    <t>8. Combine every constraint</t>
  </si>
  <si>
    <t>Collects the two nutrition requirements and both non-negativity constraints.</t>
  </si>
  <si>
    <t>9. Objective: minimize cost</t>
  </si>
  <si>
    <t>The goal is to spend as little as possible.</t>
  </si>
  <si>
    <t>10. Problem: assemble objective + constraints</t>
  </si>
  <si>
    <t>Combines the objective and the constraint set into one solvable problem.</t>
  </si>
  <si>
    <t>11. Solve</t>
  </si>
  <si>
    <t>Runs the solver and returns a handle to the result.</t>
  </si>
  <si>
    <t>Reading back the result</t>
  </si>
  <si>
    <t>12. CVX.STATUS on the result</t>
  </si>
  <si>
    <t>"optimal", "infeasible", or "unbounded".</t>
  </si>
  <si>
    <t>13. CVX.OBJECTIVE_VALUE on the result</t>
  </si>
  <si>
    <t>The minimized weekly cost; #VALUE! if the result were not optimal.</t>
  </si>
  <si>
    <t>14. CVX.VALUE for the bread variable</t>
  </si>
  <si>
    <t>CVX.VALUE always needs both the result and the variable explicitly.</t>
  </si>
  <si>
    <t>15. CVX.VALUE for the milk variable</t>
  </si>
  <si>
    <t>Same result handle, a different variable from the same solved problem.</t>
  </si>
  <si>
    <t>Describing every kind of handle</t>
  </si>
  <si>
    <t>16. CVX.TYPE on the variable</t>
  </si>
  <si>
    <t>"variable".</t>
  </si>
  <si>
    <t>17. CVX.TYPE on the objective</t>
  </si>
  <si>
    <t>"objective".</t>
  </si>
  <si>
    <t>18. CVX.TYPE on the problem</t>
  </si>
  <si>
    <t>"problem".</t>
  </si>
  <si>
    <t>19. CVX.TYPE on the result</t>
  </si>
  <si>
    <t>"result".</t>
  </si>
  <si>
    <t>20. CVX.SHAPE on the bread variable</t>
  </si>
  <si>
    <t>"1x1"; CVX.SHAPE only applies to parameters, variables, and expressions.</t>
  </si>
  <si>
    <t>21. CVX.DESCRIBE on the problem</t>
  </si>
  <si>
    <t>A diagnostic summary naming the objective and every constraint it bundles.</t>
  </si>
  <si>
    <t>Answer</t>
  </si>
  <si>
    <t>Value</t>
  </si>
  <si>
    <t>What it means</t>
  </si>
  <si>
    <t>Solve status</t>
  </si>
  <si>
    <t>"optimal" means a cheapest feasible mix of bread and milk was found.</t>
  </si>
  <si>
    <t>Cheapest weekly grocery cost</t>
  </si>
  <si>
    <t>The minimized value of the weekly_cost expression.</t>
  </si>
  <si>
    <t>Units of bread to buy</t>
  </si>
  <si>
    <t>The solved value of the qty_bread variable.</t>
  </si>
  <si>
    <t>Units of milk to buy</t>
  </si>
  <si>
    <t>The solved value of the qty_milk variable.</t>
  </si>
  <si>
    <t>Describe the result handle itself</t>
  </si>
  <si>
    <t>Confirms CVX.DESCRIBE works on every registry object kind, including results.</t>
  </si>
  <si>
    <t>Describe the calorie requirement constraint</t>
  </si>
  <si>
    <t>Confirms the constraint from step 5 is part of the constraint set solved above.</t>
  </si>
  <si>
    <t>Describe the bread non-negativity constraint</t>
  </si>
  <si>
    <t>Confirms the constraint from step 6 is part of the constraint set solved above.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</si>
</sst>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AF1FB"/>
        <bgColor indexed="64"/>
      </patternFill>
    </fill>
  </fills>
  <borders count="2">
    <border>
      <left/>
      <right/>
      <top/>
      <bottom/>
      <diagonal/>
    </border>
    <border>
      <left style="thin">
        <color rgb="FF2E74B5"/>
      </left>
      <right style="thin">
        <color rgb="FF2E74B5"/>
      </right>
      <top style="thin">
        <color rgb="FF2E74B5"/>
      </top>
      <bottom style="thin">
        <color rgb="FF2E74B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top" wrapText="1"/>
    </xf>
    <xf numFmtId="0" fontId="3" fillId="4" borderId="0" xfId="0" applyFont="1" applyFill="1"/>
    <xf numFmtId="0" fontId="4" fillId="0" borderId="0" xfId="0" applyFont="1" applyAlignment="1">
      <alignment vertical="top"/>
    </xf>
    <xf numFmtId="0" fontId="2" fillId="5" borderId="0" xfId="0" applyFont="1" applyFill="1"/>
    <xf numFmtId="0" fontId="5" fillId="3" borderId="0" xfId="0" applyFont="1" applyFill="1"/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34.7109375" customWidth="1"/>
    <col min="2" max="5" width="18.7109375" customWidth="1"/>
    <col min="6" max="6" width="58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33.75" customHeight="1">
      <c r="A2" s="2" t="s">
        <v>1</v>
      </c>
      <c r="B2" s="2"/>
      <c r="C2" s="2"/>
      <c r="D2" s="2"/>
      <c r="E2" s="2"/>
      <c r="F2" s="2"/>
    </row>
    <row r="3" spans="1:6" ht="33.75" customHeight="1">
      <c r="A3" s="2" t="s">
        <v>2</v>
      </c>
      <c r="B3" s="2"/>
      <c r="C3" s="2"/>
      <c r="D3" s="2"/>
      <c r="E3" s="2"/>
      <c r="F3" s="2"/>
    </row>
    <row r="5" spans="1:6">
      <c r="A5" s="3" t="s">
        <v>3</v>
      </c>
      <c r="B5" s="3" t="s">
        <v>4</v>
      </c>
      <c r="C5" s="3"/>
      <c r="D5" s="3"/>
      <c r="E5" s="3"/>
      <c r="F5" s="3" t="s">
        <v>5</v>
      </c>
    </row>
    <row r="6" spans="1:6">
      <c r="A6" s="4" t="s">
        <v>6</v>
      </c>
      <c r="B6" s="5">
        <v>2.5</v>
      </c>
      <c r="F6" s="2"/>
    </row>
    <row r="7" spans="1:6">
      <c r="A7" s="4" t="s">
        <v>7</v>
      </c>
      <c r="B7" s="5">
        <v>1.8</v>
      </c>
      <c r="F7" s="2"/>
    </row>
    <row r="8" spans="1:6">
      <c r="A8" s="4" t="s">
        <v>8</v>
      </c>
      <c r="B8" s="5">
        <v>24</v>
      </c>
      <c r="F8" s="2" t="s">
        <v>9</v>
      </c>
    </row>
    <row r="10" spans="1:6">
      <c r="A10" s="3" t="s">
        <v>10</v>
      </c>
      <c r="B10" s="3" t="s">
        <v>11</v>
      </c>
      <c r="C10" s="3"/>
      <c r="D10" s="3"/>
      <c r="E10" s="3"/>
      <c r="F10" s="3" t="s">
        <v>12</v>
      </c>
    </row>
    <row r="11" spans="1:6">
      <c r="A11" s="4" t="s">
        <v>13</v>
      </c>
      <c r="B11" s="6">
        <f>CVX.VARIABLE(1,1,"qty_bread")</f>
        <v>0</v>
      </c>
      <c r="F11" s="2" t="s">
        <v>14</v>
      </c>
    </row>
    <row r="12" spans="1:6">
      <c r="A12" s="4" t="s">
        <v>15</v>
      </c>
      <c r="B12" s="6">
        <f>CVX.VARIABLE(1,1,"qty_milk")</f>
        <v>0</v>
      </c>
      <c r="F12" s="2" t="s">
        <v>16</v>
      </c>
    </row>
    <row r="13" spans="1:6">
      <c r="A13" s="4" t="s">
        <v>17</v>
      </c>
      <c r="B13" s="6">
        <f>CVX.EXPRESSION("2.5 * qty_bread + 1.8 * qty_milk","weekly_cost")</f>
        <v>0</v>
      </c>
      <c r="F13" s="2" t="s">
        <v>18</v>
      </c>
    </row>
    <row r="14" spans="1:6">
      <c r="A14" s="4" t="s">
        <v>19</v>
      </c>
      <c r="B14" s="6">
        <f>CVX.CONSTRAINT("6 * qty_bread + 8 * qty_milk &gt;= 24","protein_requirement")</f>
        <v>0</v>
      </c>
      <c r="F14" s="2" t="s">
        <v>20</v>
      </c>
    </row>
    <row r="15" spans="1:6">
      <c r="A15" s="4" t="s">
        <v>21</v>
      </c>
      <c r="B15" s="6">
        <f>CVX.CONSTRAINT("120 * qty_bread + 150 * qty_milk &gt;= 600","calorie_requirement")</f>
        <v>0</v>
      </c>
      <c r="F15" s="2" t="s">
        <v>22</v>
      </c>
    </row>
    <row r="16" spans="1:6">
      <c r="A16" s="4" t="s">
        <v>23</v>
      </c>
      <c r="B16" s="6">
        <f>CVX.CONSTRAINT("qty_bread &gt;= 0","bread_nonneg")</f>
        <v>0</v>
      </c>
      <c r="F16" s="2" t="s">
        <v>24</v>
      </c>
    </row>
    <row r="17" spans="1:6">
      <c r="A17" s="4" t="s">
        <v>25</v>
      </c>
      <c r="B17" s="6">
        <f>CVX.CONSTRAINT("qty_milk &gt;= 0","milk_nonneg")</f>
        <v>0</v>
      </c>
      <c r="F17" s="2" t="s">
        <v>26</v>
      </c>
    </row>
    <row r="18" spans="1:6">
      <c r="A18" s="4" t="s">
        <v>27</v>
      </c>
      <c r="B18" s="6">
        <f>CVX.CONSTRAINTS(B14:B17,"diet_constraints")</f>
        <v>0</v>
      </c>
      <c r="F18" s="2" t="s">
        <v>28</v>
      </c>
    </row>
    <row r="19" spans="1:6">
      <c r="A19" s="4" t="s">
        <v>29</v>
      </c>
      <c r="B19" s="6">
        <f>CVX.MINIMIZE(B13,"minimize_cost")</f>
        <v>0</v>
      </c>
      <c r="F19" s="2" t="s">
        <v>30</v>
      </c>
    </row>
    <row r="20" spans="1:6">
      <c r="A20" s="4" t="s">
        <v>31</v>
      </c>
      <c r="B20" s="6">
        <f>CVX.PROBLEM(B19,B18,"diet_problem")</f>
        <v>0</v>
      </c>
      <c r="F20" s="2" t="s">
        <v>32</v>
      </c>
    </row>
    <row r="21" spans="1:6">
      <c r="A21" s="4" t="s">
        <v>33</v>
      </c>
      <c r="B21" s="6">
        <f>CVX.SOLVE(B20,"diet_result")</f>
        <v>0</v>
      </c>
      <c r="F21" s="2" t="s">
        <v>34</v>
      </c>
    </row>
    <row r="23" spans="1:6">
      <c r="A23" s="3" t="s">
        <v>35</v>
      </c>
      <c r="B23" s="3" t="s">
        <v>11</v>
      </c>
      <c r="C23" s="3"/>
      <c r="D23" s="3"/>
      <c r="E23" s="3"/>
      <c r="F23" s="3" t="s">
        <v>12</v>
      </c>
    </row>
    <row r="24" spans="1:6">
      <c r="A24" s="4" t="s">
        <v>36</v>
      </c>
      <c r="B24" s="6">
        <f>CVX.STATUS(B21)</f>
        <v>0</v>
      </c>
      <c r="F24" s="2" t="s">
        <v>37</v>
      </c>
    </row>
    <row r="25" spans="1:6">
      <c r="A25" s="4" t="s">
        <v>38</v>
      </c>
      <c r="B25" s="6">
        <f>CVX.OBJECTIVE_VALUE(B21)</f>
        <v>0</v>
      </c>
      <c r="F25" s="2" t="s">
        <v>39</v>
      </c>
    </row>
    <row r="26" spans="1:6">
      <c r="A26" s="4" t="s">
        <v>40</v>
      </c>
      <c r="B26" s="6">
        <f>CVX.VALUE(B21,B11)</f>
        <v>0</v>
      </c>
      <c r="F26" s="2" t="s">
        <v>41</v>
      </c>
    </row>
    <row r="27" spans="1:6">
      <c r="A27" s="4" t="s">
        <v>42</v>
      </c>
      <c r="B27" s="6">
        <f>CVX.VALUE(B21,B12)</f>
        <v>0</v>
      </c>
      <c r="F27" s="2" t="s">
        <v>43</v>
      </c>
    </row>
    <row r="29" spans="1:6">
      <c r="A29" s="3" t="s">
        <v>44</v>
      </c>
      <c r="B29" s="3" t="s">
        <v>11</v>
      </c>
      <c r="C29" s="3"/>
      <c r="D29" s="3"/>
      <c r="E29" s="3"/>
      <c r="F29" s="3" t="s">
        <v>12</v>
      </c>
    </row>
    <row r="30" spans="1:6">
      <c r="A30" s="4" t="s">
        <v>45</v>
      </c>
      <c r="B30" s="6">
        <f>CVX.TYPE(B11)</f>
        <v>0</v>
      </c>
      <c r="F30" s="2" t="s">
        <v>46</v>
      </c>
    </row>
    <row r="31" spans="1:6">
      <c r="A31" s="4" t="s">
        <v>47</v>
      </c>
      <c r="B31" s="6">
        <f>CVX.TYPE(B19)</f>
        <v>0</v>
      </c>
      <c r="F31" s="2" t="s">
        <v>48</v>
      </c>
    </row>
    <row r="32" spans="1:6">
      <c r="A32" s="4" t="s">
        <v>49</v>
      </c>
      <c r="B32" s="6">
        <f>CVX.TYPE(B20)</f>
        <v>0</v>
      </c>
      <c r="F32" s="2" t="s">
        <v>50</v>
      </c>
    </row>
    <row r="33" spans="1:6">
      <c r="A33" s="4" t="s">
        <v>51</v>
      </c>
      <c r="B33" s="6">
        <f>CVX.TYPE(B21)</f>
        <v>0</v>
      </c>
      <c r="F33" s="2" t="s">
        <v>52</v>
      </c>
    </row>
    <row r="34" spans="1:6">
      <c r="A34" s="4" t="s">
        <v>53</v>
      </c>
      <c r="B34" s="6">
        <f>CVX.SHAPE(B11)</f>
        <v>0</v>
      </c>
      <c r="F34" s="2" t="s">
        <v>54</v>
      </c>
    </row>
    <row r="35" spans="1:6">
      <c r="A35" s="4" t="s">
        <v>55</v>
      </c>
      <c r="B35" s="6">
        <f>CVX.DESCRIBE(B20)</f>
        <v>0</v>
      </c>
      <c r="F35" s="2" t="s">
        <v>56</v>
      </c>
    </row>
    <row r="37" spans="1:6">
      <c r="A37" s="3" t="s">
        <v>57</v>
      </c>
      <c r="B37" s="3" t="s">
        <v>58</v>
      </c>
      <c r="C37" s="3"/>
      <c r="D37" s="3"/>
      <c r="E37" s="3"/>
      <c r="F37" s="3" t="s">
        <v>59</v>
      </c>
    </row>
    <row r="38" spans="1:6">
      <c r="A38" s="4" t="s">
        <v>60</v>
      </c>
      <c r="B38" s="7">
        <f>CVX.STATUS(B21)</f>
        <v>0</v>
      </c>
      <c r="F38" s="2" t="s">
        <v>61</v>
      </c>
    </row>
    <row r="39" spans="1:6">
      <c r="A39" s="4" t="s">
        <v>62</v>
      </c>
      <c r="B39" s="7">
        <f>CVX.OBJECTIVE_VALUE(B21)</f>
        <v>0</v>
      </c>
      <c r="F39" s="2" t="s">
        <v>63</v>
      </c>
    </row>
    <row r="40" spans="1:6">
      <c r="A40" s="4" t="s">
        <v>64</v>
      </c>
      <c r="B40" s="7">
        <f>CVX.VALUE(B21,B11)</f>
        <v>0</v>
      </c>
      <c r="F40" s="2" t="s">
        <v>65</v>
      </c>
    </row>
    <row r="41" spans="1:6">
      <c r="A41" s="4" t="s">
        <v>66</v>
      </c>
      <c r="B41" s="7">
        <f>CVX.VALUE(B21,B12)</f>
        <v>0</v>
      </c>
      <c r="F41" s="2" t="s">
        <v>67</v>
      </c>
    </row>
    <row r="42" spans="1:6">
      <c r="A42" s="4" t="s">
        <v>68</v>
      </c>
      <c r="B42" s="7">
        <f>CVX.DESCRIBE(B21)</f>
        <v>0</v>
      </c>
      <c r="F42" s="2" t="s">
        <v>69</v>
      </c>
    </row>
    <row r="43" spans="1:6">
      <c r="A43" s="4" t="s">
        <v>70</v>
      </c>
      <c r="B43" s="7">
        <f>CVX.DESCRIBE(B15)</f>
        <v>0</v>
      </c>
      <c r="F43" s="2" t="s">
        <v>71</v>
      </c>
    </row>
    <row r="44" spans="1:6">
      <c r="A44" s="4" t="s">
        <v>72</v>
      </c>
      <c r="B44" s="7">
        <f>CVX.DESCRIBE(B16)</f>
        <v>0</v>
      </c>
      <c r="F44" s="2" t="s">
        <v>73</v>
      </c>
    </row>
  </sheetData>
  <mergeCells count="8">
    <mergeCell ref="A1:F1"/>
    <mergeCell ref="A2:F2"/>
    <mergeCell ref="A3:F3"/>
    <mergeCell ref="B5:E5"/>
    <mergeCell ref="B10:E10"/>
    <mergeCell ref="B23:E23"/>
    <mergeCell ref="B29:E29"/>
    <mergeCell ref="B37:E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Inspecting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2026-10-07T14:11:06Z</dcterms:created>
  <dcterms:modified xsi:type="dcterms:W3CDTF">2026-10-07T14:11:06Z</dcterms:modified>
</cp:coreProperties>
</file>