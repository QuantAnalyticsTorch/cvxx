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 Risk" sheetId="1" r:id="rId1"/>
  </sheets>
  <calcPr calcId="124519" fullCalcOnLoad="1"/>
</workbook>
</file>

<file path=xl/sharedStrings.xml><?xml version="1.0" encoding="utf-8"?>
<sst xmlns="http://schemas.openxmlformats.org/spreadsheetml/2006/main" count="66" uniqueCount="65">
  <si>
    <t>Portfolio Risk Minimization: Quadratic Problems</t>
  </si>
  <si>
    <t>An investor splits money between two assets and wants the allocation that is as safe as possible (lowest variance) while still hitting a target average return, and while investing the full amount with no short selling.</t>
  </si>
  <si>
    <t>Portfolio variance is a quadratic function of the allocation weights (weights.T @ sigma @ weights), which is why this scenario needs cvxx's quadratic problem support rather than the purely affine problems in 04-problems-and-solving.xlsx. The @ and .T operators (matrix multiplication and transpose) are also demonstrated here via their functional builders.</t>
  </si>
  <si>
    <t>Known value</t>
  </si>
  <si>
    <t>Value(s)</t>
  </si>
  <si>
    <t>Notes</t>
  </si>
  <si>
    <t>Covariance matrix (sigma)</t>
  </si>
  <si>
    <t>Annualized return variance/covariance between asset 1 and asset 2.</t>
  </si>
  <si>
    <t>Expected annual return</t>
  </si>
  <si>
    <t>Asset 1 expects an 8% return, asset 2 a 12% return.</t>
  </si>
  <si>
    <t>Target portfolio return</t>
  </si>
  <si>
    <t>The investor wants at least a 9% expected return.</t>
  </si>
  <si>
    <t>Step</t>
  </si>
  <si>
    <t>Formula</t>
  </si>
  <si>
    <t>What it does</t>
  </si>
  <si>
    <t>1. Create a 2x1 variable for the asset weights</t>
  </si>
  <si>
    <t>weights(1) is the fraction in asset 1, weights(2) the fraction in asset 2.</t>
  </si>
  <si>
    <t>2. Store the covariance matrix as a parameter</t>
  </si>
  <si>
    <t>A 2x2 parameter matrix.</t>
  </si>
  <si>
    <t>3. Store the expected returns as a parameter</t>
  </si>
  <si>
    <t>A 2x1 parameter vector.</t>
  </si>
  <si>
    <t>4. Store the target return as a parameter</t>
  </si>
  <si>
    <t>The minimum acceptable expected annual portfolio return.</t>
  </si>
  <si>
    <t>5. Portfolio variance (@ / .T string grammar)</t>
  </si>
  <si>
    <t>weights.T @ sigma @ weights is the quadratic form for portfolio variance.</t>
  </si>
  <si>
    <t>5b. The same variance, built from functional MATMUL/TRANSPOSE builders</t>
  </si>
  <si>
    <t>An unnamed equivalent of step 5, shown purely to demonstrate the functional CVX.MATMUL/CVX.TRANSPOSE builders alongside the @/.T string grammar.</t>
  </si>
  <si>
    <t>6. Portfolio return (MUL + sum(...) string grammar)</t>
  </si>
  <si>
    <t>Entrywise-multiplies each asset's weight by its expected return, then sums them.</t>
  </si>
  <si>
    <t>7. Target-return constraint</t>
  </si>
  <si>
    <t>The expected portfolio return must meet the investor's target.</t>
  </si>
  <si>
    <t>8. Fully-invested constraint</t>
  </si>
  <si>
    <t>The two weights must add up to the whole investment (100%).</t>
  </si>
  <si>
    <t>9. No short selling asset 1</t>
  </si>
  <si>
    <t>Selects the first entry of weights and requires it to be non-negative.</t>
  </si>
  <si>
    <t>10. No short selling asset 2</t>
  </si>
  <si>
    <t>Selects the second entry of weights and requires it to be non-negative.</t>
  </si>
  <si>
    <t>11. Combine every constraint into one set</t>
  </si>
  <si>
    <t>Collects the target-return, fully-invested, and no-short-selling constraints.</t>
  </si>
  <si>
    <t>12. Frame variance as a minimization objective</t>
  </si>
  <si>
    <t>The goal is the lowest-variance allocation meeting every constraint.</t>
  </si>
  <si>
    <t>13. Assemble the problem</t>
  </si>
  <si>
    <t>Combines the objective and the constraint set into one solvable problem.</t>
  </si>
  <si>
    <t>14. Solve it</t>
  </si>
  <si>
    <t>Runs the quadratic solver and returns a handle to the result.</t>
  </si>
  <si>
    <t>Answer</t>
  </si>
  <si>
    <t>What it means</t>
  </si>
  <si>
    <t>Solve status</t>
  </si>
  <si>
    <t>"optimal" means a lowest-variance allocation meeting every constraint was found.</t>
  </si>
  <si>
    <t>Minimized portfolio variance</t>
  </si>
  <si>
    <t>The minimized value of the portfolio_variance expression from step 5.</t>
  </si>
  <si>
    <t>Allocation weights (asset 1, asset 2)</t>
  </si>
  <si>
    <t>Spills across two cells: the fraction to invest in each asset.</t>
  </si>
  <si>
    <t>Describe the alternate variance expression</t>
  </si>
  <si>
    <t>Confirms the functional MATMUL/TRANSPOSE builders from step 5b produce the same (left) @ (right) structure as the @/.T string grammar.</t>
  </si>
  <si>
    <t>Weighted-returns expression type</t>
  </si>
  <si>
    <t>Confirms the handle from step 6 is an expression.</t>
  </si>
  <si>
    <t>Returns parameter shape</t>
  </si>
  <si>
    <t>Confirms the expected-returns parameter is a 2x1 column vector.</t>
  </si>
  <si>
    <t>Describe the minimum-return parameter</t>
  </si>
  <si>
    <t>The named parameter the target-return constraint's string formula refers to.</t>
  </si>
  <si>
    <t>Describe the fully-invested constraint</t>
  </si>
  <si>
    <t>Confirms the constraint from step 8 is part of the constraint set solved above.</t>
  </si>
  <si>
    <t>Describe the no-short-selling constraint for asset 1</t>
  </si>
  <si>
    <t>Confirms the constraint from step 9 is part of the constraint set solved above.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</si>
</sst>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AF1FB"/>
        <bgColor indexed="64"/>
      </patternFill>
    </fill>
  </fills>
  <borders count="2">
    <border>
      <left/>
      <right/>
      <top/>
      <bottom/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/>
    </xf>
    <xf numFmtId="0" fontId="2" fillId="5" borderId="0" xfId="0" applyFont="1" applyFill="1"/>
    <xf numFmtId="0" fontId="5" fillId="3" borderId="0" xfId="0" applyFont="1" applyFill="1"/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4.7109375" customWidth="1"/>
    <col min="2" max="5" width="18.7109375" customWidth="1"/>
    <col min="6" max="6" width="5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3.75" customHeight="1">
      <c r="A2" s="2" t="s">
        <v>1</v>
      </c>
      <c r="B2" s="2"/>
      <c r="C2" s="2"/>
      <c r="D2" s="2"/>
      <c r="E2" s="2"/>
      <c r="F2" s="2"/>
    </row>
    <row r="3" spans="1:6" ht="33.75" customHeight="1">
      <c r="A3" s="2" t="s">
        <v>2</v>
      </c>
      <c r="B3" s="2"/>
      <c r="C3" s="2"/>
      <c r="D3" s="2"/>
      <c r="E3" s="2"/>
      <c r="F3" s="2"/>
    </row>
    <row r="5" spans="1:6">
      <c r="A5" s="3" t="s">
        <v>3</v>
      </c>
      <c r="B5" s="3" t="s">
        <v>4</v>
      </c>
      <c r="C5" s="3"/>
      <c r="D5" s="3"/>
      <c r="E5" s="3"/>
      <c r="F5" s="3" t="s">
        <v>5</v>
      </c>
    </row>
    <row r="6" spans="1:6">
      <c r="A6" s="4" t="s">
        <v>6</v>
      </c>
      <c r="B6" s="5">
        <v>0.04</v>
      </c>
      <c r="C6" s="5">
        <v>0.01</v>
      </c>
      <c r="F6" s="2" t="s">
        <v>7</v>
      </c>
    </row>
    <row r="7" spans="1:6">
      <c r="B7" s="5">
        <v>0.01</v>
      </c>
      <c r="C7" s="5">
        <v>0.09</v>
      </c>
    </row>
    <row r="8" spans="1:6">
      <c r="A8" s="4" t="s">
        <v>8</v>
      </c>
      <c r="B8" s="5">
        <v>0.08</v>
      </c>
      <c r="F8" s="2" t="s">
        <v>9</v>
      </c>
    </row>
    <row r="9" spans="1:6">
      <c r="B9" s="5">
        <v>0.12</v>
      </c>
    </row>
    <row r="10" spans="1:6">
      <c r="A10" s="4" t="s">
        <v>10</v>
      </c>
      <c r="B10" s="5">
        <v>0.09</v>
      </c>
      <c r="F10" s="2" t="s">
        <v>11</v>
      </c>
    </row>
    <row r="12" spans="1:6">
      <c r="A12" s="3" t="s">
        <v>12</v>
      </c>
      <c r="B12" s="3" t="s">
        <v>13</v>
      </c>
      <c r="C12" s="3"/>
      <c r="D12" s="3"/>
      <c r="E12" s="3"/>
      <c r="F12" s="3" t="s">
        <v>14</v>
      </c>
    </row>
    <row r="13" spans="1:6">
      <c r="A13" s="4" t="s">
        <v>15</v>
      </c>
      <c r="B13" s="6">
        <f>CVX.VARIABLE(2,1,"weights")</f>
        <v>0</v>
      </c>
      <c r="F13" s="2" t="s">
        <v>16</v>
      </c>
    </row>
    <row r="14" spans="1:6">
      <c r="A14" s="4" t="s">
        <v>17</v>
      </c>
      <c r="B14" s="6">
        <f>CVX.PARAMETER(B6:C7,"sigma")</f>
        <v>0</v>
      </c>
      <c r="F14" s="2" t="s">
        <v>18</v>
      </c>
    </row>
    <row r="15" spans="1:6">
      <c r="A15" s="4" t="s">
        <v>19</v>
      </c>
      <c r="B15" s="6">
        <f>CVX.PARAMETER(B8:B9,"expected_returns")</f>
        <v>0</v>
      </c>
      <c r="F15" s="2" t="s">
        <v>20</v>
      </c>
    </row>
    <row r="16" spans="1:6">
      <c r="A16" s="4" t="s">
        <v>21</v>
      </c>
      <c r="B16" s="6">
        <f>CVX.PARAMETER(B10,"min_return")</f>
        <v>0</v>
      </c>
      <c r="F16" s="2" t="s">
        <v>22</v>
      </c>
    </row>
    <row r="17" spans="1:6">
      <c r="A17" s="4" t="s">
        <v>23</v>
      </c>
      <c r="B17" s="6">
        <f>CVX.EXPRESSION("weights.T @ sigma @ weights","portfolio_variance")</f>
        <v>0</v>
      </c>
      <c r="F17" s="2" t="s">
        <v>24</v>
      </c>
    </row>
    <row r="18" spans="1:6">
      <c r="A18" s="4" t="s">
        <v>25</v>
      </c>
      <c r="B18" s="6">
        <f>CVX.MATMUL(CVX.TRANSPOSE(B13),CVX.MATMUL(B14,B13))</f>
        <v>0</v>
      </c>
      <c r="F18" s="2" t="s">
        <v>26</v>
      </c>
    </row>
    <row r="19" spans="1:6">
      <c r="A19" s="4" t="s">
        <v>27</v>
      </c>
      <c r="B19" s="6">
        <f>CVX.EXPRESSION("sum(expected_returns * weights)","portfolio_return")</f>
        <v>0</v>
      </c>
      <c r="F19" s="2" t="s">
        <v>28</v>
      </c>
    </row>
    <row r="20" spans="1:6">
      <c r="A20" s="4" t="s">
        <v>29</v>
      </c>
      <c r="B20" s="6">
        <f>CVX.CONSTRAINT("portfolio_return &gt;= min_return","target_return")</f>
        <v>0</v>
      </c>
      <c r="F20" s="2" t="s">
        <v>30</v>
      </c>
    </row>
    <row r="21" spans="1:6">
      <c r="A21" s="4" t="s">
        <v>31</v>
      </c>
      <c r="B21" s="6">
        <f>CVX.CONSTRAINT("sum(weights) == 1","fully_invested")</f>
        <v>0</v>
      </c>
      <c r="F21" s="2" t="s">
        <v>32</v>
      </c>
    </row>
    <row r="22" spans="1:6">
      <c r="A22" s="4" t="s">
        <v>33</v>
      </c>
      <c r="B22" s="6">
        <f>CVX.CONSTRAINT("index(weights, 1, 1) &gt;= 0","w1_nonneg")</f>
        <v>0</v>
      </c>
      <c r="F22" s="2" t="s">
        <v>34</v>
      </c>
    </row>
    <row r="23" spans="1:6">
      <c r="A23" s="4" t="s">
        <v>35</v>
      </c>
      <c r="B23" s="6">
        <f>CVX.CONSTRAINT("index(weights, 2, 1) &gt;= 0","w2_nonneg")</f>
        <v>0</v>
      </c>
      <c r="F23" s="2" t="s">
        <v>36</v>
      </c>
    </row>
    <row r="24" spans="1:6">
      <c r="A24" s="4" t="s">
        <v>37</v>
      </c>
      <c r="B24" s="6">
        <f>CVX.CONSTRAINTS(B20:B23,"portfolio_constraints")</f>
        <v>0</v>
      </c>
      <c r="F24" s="2" t="s">
        <v>38</v>
      </c>
    </row>
    <row r="25" spans="1:6">
      <c r="A25" s="4" t="s">
        <v>39</v>
      </c>
      <c r="B25" s="6">
        <f>CVX.MINIMIZE(B17,"minimize_risk")</f>
        <v>0</v>
      </c>
      <c r="F25" s="2" t="s">
        <v>40</v>
      </c>
    </row>
    <row r="26" spans="1:6">
      <c r="A26" s="4" t="s">
        <v>41</v>
      </c>
      <c r="B26" s="6">
        <f>CVX.PROBLEM(B25,B24,"portfolio_problem")</f>
        <v>0</v>
      </c>
      <c r="F26" s="2" t="s">
        <v>42</v>
      </c>
    </row>
    <row r="27" spans="1:6">
      <c r="A27" s="4" t="s">
        <v>43</v>
      </c>
      <c r="B27" s="6">
        <f>CVX.SOLVE(B26,"portfolio_result")</f>
        <v>0</v>
      </c>
      <c r="F27" s="2" t="s">
        <v>44</v>
      </c>
    </row>
    <row r="29" spans="1:6">
      <c r="A29" s="3" t="s">
        <v>45</v>
      </c>
      <c r="B29" s="3" t="s">
        <v>4</v>
      </c>
      <c r="C29" s="3"/>
      <c r="D29" s="3"/>
      <c r="E29" s="3"/>
      <c r="F29" s="3" t="s">
        <v>46</v>
      </c>
    </row>
    <row r="30" spans="1:6">
      <c r="A30" s="4" t="s">
        <v>47</v>
      </c>
      <c r="B30" s="7">
        <f>CVX.STATUS(B27)</f>
        <v>0</v>
      </c>
      <c r="F30" s="2" t="s">
        <v>48</v>
      </c>
    </row>
    <row r="31" spans="1:6">
      <c r="A31" s="4" t="s">
        <v>49</v>
      </c>
      <c r="B31" s="7">
        <f>CVX.OBJECTIVE_VALUE(B27)</f>
        <v>0</v>
      </c>
      <c r="F31" s="2" t="s">
        <v>50</v>
      </c>
    </row>
    <row r="32" spans="1:6">
      <c r="A32" s="4" t="s">
        <v>51</v>
      </c>
      <c r="B32" s="7">
        <f>CVX.VALUE(B27,B13)</f>
        <v>0</v>
      </c>
      <c r="F32" s="2" t="s">
        <v>52</v>
      </c>
    </row>
    <row r="33" spans="1:6">
      <c r="A33" s="4" t="s">
        <v>53</v>
      </c>
      <c r="B33" s="7">
        <f>CVX.DESCRIBE(B18)</f>
        <v>0</v>
      </c>
      <c r="F33" s="2" t="s">
        <v>54</v>
      </c>
    </row>
    <row r="34" spans="1:6">
      <c r="A34" s="4" t="s">
        <v>55</v>
      </c>
      <c r="B34" s="7">
        <f>CVX.TYPE(B19)</f>
        <v>0</v>
      </c>
      <c r="F34" s="2" t="s">
        <v>56</v>
      </c>
    </row>
    <row r="35" spans="1:6">
      <c r="A35" s="4" t="s">
        <v>57</v>
      </c>
      <c r="B35" s="7">
        <f>CVX.SHAPE(B15)</f>
        <v>0</v>
      </c>
      <c r="F35" s="2" t="s">
        <v>58</v>
      </c>
    </row>
    <row r="36" spans="1:6">
      <c r="A36" s="4" t="s">
        <v>59</v>
      </c>
      <c r="B36" s="7">
        <f>CVX.DESCRIBE(B16)</f>
        <v>0</v>
      </c>
      <c r="F36" s="2" t="s">
        <v>60</v>
      </c>
    </row>
    <row r="37" spans="1:6">
      <c r="A37" s="4" t="s">
        <v>61</v>
      </c>
      <c r="B37" s="7">
        <f>CVX.DESCRIBE(B21)</f>
        <v>0</v>
      </c>
      <c r="F37" s="2" t="s">
        <v>62</v>
      </c>
    </row>
    <row r="38" spans="1:6">
      <c r="A38" s="4" t="s">
        <v>63</v>
      </c>
      <c r="B38" s="7">
        <f>CVX.DESCRIBE(B22)</f>
        <v>0</v>
      </c>
      <c r="F38" s="2" t="s">
        <v>64</v>
      </c>
    </row>
  </sheetData>
  <mergeCells count="6">
    <mergeCell ref="A1:F1"/>
    <mergeCell ref="A2:F2"/>
    <mergeCell ref="A3:F3"/>
    <mergeCell ref="B5:E5"/>
    <mergeCell ref="B12:E12"/>
    <mergeCell ref="B29:E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Risk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2026-10-03T06:27:45Z</dcterms:created>
  <dcterms:modified xsi:type="dcterms:W3CDTF">2026-10-03T06:27:45Z</dcterms:modified>
</cp:coreProperties>
</file>