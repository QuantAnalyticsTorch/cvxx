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et Problem" sheetId="1" r:id="rId1"/>
  </sheets>
  <calcPr calcId="124519" fullCalcOnLoad="1"/>
</workbook>
</file>

<file path=xl/sharedStrings.xml><?xml version="1.0" encoding="utf-8"?>
<sst xmlns="http://schemas.openxmlformats.org/spreadsheetml/2006/main" count="55" uniqueCount="55">
  <si>
    <t>Diet Problem: Minimizing Weekly Grocery Cost</t>
  </si>
  <si>
    <t>A household wants to buy bread and milk to meet its weekly protein and calorie needs as cheaply as possible. Buying more of either food costs more, but each also contributes nutrients, so the cheapest mix is not simply "buy none of either".</t>
  </si>
  <si>
    <t>This workbook builds the cost objective and nutrition constraints as cvxx expressions and constraints, assembles them into a problem, solves it, and reads back how many units of each food to buy.</t>
  </si>
  <si>
    <t>Known value</t>
  </si>
  <si>
    <t>Amount</t>
  </si>
  <si>
    <t>Notes</t>
  </si>
  <si>
    <t>Cost per unit of bread ($)</t>
  </si>
  <si>
    <t>Cost per unit of milk ($)</t>
  </si>
  <si>
    <t>Protein per unit of bread (g)</t>
  </si>
  <si>
    <t>Protein per unit of milk (g)</t>
  </si>
  <si>
    <t>Calories per unit of bread</t>
  </si>
  <si>
    <t>Calories per unit of milk</t>
  </si>
  <si>
    <t>Minimum weekly protein (g)</t>
  </si>
  <si>
    <t>Minimum weekly calories</t>
  </si>
  <si>
    <t>The coefficients above are written directly into the formulas below as literals, matching cvxx's string-expression grammar.</t>
  </si>
  <si>
    <t>Step</t>
  </si>
  <si>
    <t>Formula</t>
  </si>
  <si>
    <t>What it does</t>
  </si>
  <si>
    <t>1. Create a variable for units of bread to buy</t>
  </si>
  <si>
    <t>Units of bread to buy this week.</t>
  </si>
  <si>
    <t>2. Create a variable for units of milk to buy</t>
  </si>
  <si>
    <t>Units of milk to buy this week.</t>
  </si>
  <si>
    <t>3. Build the weekly cost expression</t>
  </si>
  <si>
    <t>Total dollars spent as a function of how much bread and milk are bought.</t>
  </si>
  <si>
    <t>4. Protein requirement constraint</t>
  </si>
  <si>
    <t>Total protein from both foods must meet the weekly minimum.</t>
  </si>
  <si>
    <t>5. Calorie requirement constraint</t>
  </si>
  <si>
    <t>Total calories from both foods must meet the weekly minimum.</t>
  </si>
  <si>
    <t>6. Non-negativity for bread</t>
  </si>
  <si>
    <t>Cannot buy a negative amount of bread.</t>
  </si>
  <si>
    <t>7. Non-negativity for milk</t>
  </si>
  <si>
    <t>Cannot buy a negative amount of milk.</t>
  </si>
  <si>
    <t>8. Combine every constraint into one set</t>
  </si>
  <si>
    <t>Collects the two nutrition requirements and both non-negativity constraints.</t>
  </si>
  <si>
    <t>9. Frame cost as a minimization objective</t>
  </si>
  <si>
    <t>The goal is to spend as little as possible.</t>
  </si>
  <si>
    <t>10. Assemble the problem</t>
  </si>
  <si>
    <t>Combines the objective and the constraint set into one solvable problem.</t>
  </si>
  <si>
    <t>11. Solve it</t>
  </si>
  <si>
    <t>Runs the solver and returns a handle to the result.</t>
  </si>
  <si>
    <t>Answer</t>
  </si>
  <si>
    <t>Value</t>
  </si>
  <si>
    <t>What it means</t>
  </si>
  <si>
    <t>Solve status</t>
  </si>
  <si>
    <t>"optimal" means a cheapest feasible mix of bread and milk was found.</t>
  </si>
  <si>
    <t>Cheapest weekly grocery cost that still meets every nutrition requirement</t>
  </si>
  <si>
    <t>The minimized value of the weekly_cost expression from step 3.</t>
  </si>
  <si>
    <t>Units of bread to buy</t>
  </si>
  <si>
    <t>The solved value of the qty_bread variable from step 1.</t>
  </si>
  <si>
    <t>Units of milk to buy</t>
  </si>
  <si>
    <t>The solved value of the qty_milk variable from step 2.</t>
  </si>
  <si>
    <t>Describe the calorie requirement constraint</t>
  </si>
  <si>
    <t>Confirms the constraint from step 5 is part of the constraint set solved above.</t>
  </si>
  <si>
    <t>Describe the bread non-negativity constraint</t>
  </si>
  <si>
    <t>Confirms the constraint from step 6 is part of the constraint set solved above.</t>
  </si>
</sst>
</file>

<file path=xl/styles.xml><?xml version="1.0" encoding="utf-8"?>
<styleSheet xmlns="http://schemas.openxmlformats.org/spreadsheetml/2006/main">
  <fonts count="6">
    <font>
      <sz val="11"/>
      <color theme="1"/>
      <name val="Calibri"/>
      <family val="2"/>
      <scheme val="minor"/>
    </font>
    <font>
      <b/>
      <sz val="16"/>
      <color rgb="FFFFFFFF"/>
      <name val="Calibri"/>
      <family val="2"/>
      <scheme val="minor"/>
    </font>
    <font>
      <sz val="11"/>
      <color rgb="FF000000"/>
      <name val="Calibri"/>
      <family val="2"/>
      <scheme val="minor"/>
    </font>
    <font>
      <b/>
      <sz val="11"/>
      <color rgb="FFFFFFFF"/>
      <name val="Calibri"/>
      <family val="2"/>
      <scheme val="minor"/>
    </font>
    <font>
      <b/>
      <sz val="11"/>
      <color rgb="FF000000"/>
      <name val="Calibri"/>
      <family val="2"/>
      <scheme val="minor"/>
    </font>
    <font>
      <sz val="11"/>
      <color rgb="FF000000"/>
      <name val="Consolas"/>
      <family val="2"/>
    </font>
  </fonts>
  <fills count="7">
    <fill>
      <patternFill patternType="none"/>
    </fill>
    <fill>
      <patternFill patternType="gray125"/>
    </fill>
    <fill>
      <patternFill patternType="solid">
        <fgColor rgb="FF1F4E78"/>
        <bgColor indexed="64"/>
      </patternFill>
    </fill>
    <fill>
      <patternFill patternType="solid">
        <fgColor rgb="FFFFFFFF"/>
        <bgColor indexed="64"/>
      </patternFill>
    </fill>
    <fill>
      <patternFill patternType="solid">
        <fgColor rgb="FF2E74B5"/>
        <bgColor indexed="64"/>
      </patternFill>
    </fill>
    <fill>
      <patternFill patternType="solid">
        <fgColor rgb="FFDCE6F1"/>
        <bgColor indexed="64"/>
      </patternFill>
    </fill>
    <fill>
      <patternFill patternType="solid">
        <fgColor rgb="FFEAF1FB"/>
        <bgColor indexed="64"/>
      </patternFill>
    </fill>
  </fills>
  <borders count="2">
    <border>
      <left/>
      <right/>
      <top/>
      <bottom/>
      <diagonal/>
    </border>
    <border>
      <left style="thin">
        <color rgb="FF2E74B5"/>
      </left>
      <right style="thin">
        <color rgb="FF2E74B5"/>
      </right>
      <top style="thin">
        <color rgb="FF2E74B5"/>
      </top>
      <bottom style="thin">
        <color rgb="FF2E74B5"/>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xf>
    <xf numFmtId="0" fontId="2" fillId="3" borderId="0" xfId="0" applyFont="1" applyFill="1" applyAlignment="1">
      <alignment vertical="top" wrapText="1"/>
    </xf>
    <xf numFmtId="0" fontId="3" fillId="4" borderId="0" xfId="0" applyFont="1" applyFill="1"/>
    <xf numFmtId="0" fontId="4" fillId="0" borderId="0" xfId="0" applyFont="1" applyAlignment="1">
      <alignment vertical="top"/>
    </xf>
    <xf numFmtId="0" fontId="2" fillId="5" borderId="0" xfId="0" applyFont="1" applyFill="1"/>
    <xf numFmtId="0" fontId="5" fillId="3" borderId="0" xfId="0" applyFont="1" applyFill="1"/>
    <xf numFmtId="0" fontId="4" fillId="6"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4"/>
  <sheetViews>
    <sheetView tabSelected="1" workbookViewId="0">
      <pane ySplit="3" topLeftCell="A4" activePane="bottomLeft" state="frozen"/>
      <selection pane="bottomLeft"/>
    </sheetView>
  </sheetViews>
  <sheetFormatPr defaultRowHeight="15"/>
  <cols>
    <col min="1" max="1" width="34.7109375" customWidth="1"/>
    <col min="2" max="5" width="18.7109375" customWidth="1"/>
    <col min="6" max="6" width="58.7109375" customWidth="1"/>
  </cols>
  <sheetData>
    <row r="1" spans="1:6" ht="30" customHeight="1">
      <c r="A1" s="1" t="s">
        <v>0</v>
      </c>
      <c r="B1" s="1"/>
      <c r="C1" s="1"/>
      <c r="D1" s="1"/>
      <c r="E1" s="1"/>
      <c r="F1" s="1"/>
    </row>
    <row r="2" spans="1:6" ht="33.75" customHeight="1">
      <c r="A2" s="2" t="s">
        <v>1</v>
      </c>
      <c r="B2" s="2"/>
      <c r="C2" s="2"/>
      <c r="D2" s="2"/>
      <c r="E2" s="2"/>
      <c r="F2" s="2"/>
    </row>
    <row r="3" spans="1:6" ht="33.75" customHeight="1">
      <c r="A3" s="2" t="s">
        <v>2</v>
      </c>
      <c r="B3" s="2"/>
      <c r="C3" s="2"/>
      <c r="D3" s="2"/>
      <c r="E3" s="2"/>
      <c r="F3" s="2"/>
    </row>
    <row r="5" spans="1:6">
      <c r="A5" s="3" t="s">
        <v>3</v>
      </c>
      <c r="B5" s="3" t="s">
        <v>4</v>
      </c>
      <c r="C5" s="3"/>
      <c r="D5" s="3"/>
      <c r="E5" s="3"/>
      <c r="F5" s="3" t="s">
        <v>5</v>
      </c>
    </row>
    <row r="6" spans="1:6">
      <c r="A6" s="4" t="s">
        <v>6</v>
      </c>
      <c r="B6" s="5">
        <v>2.5</v>
      </c>
      <c r="F6" s="2"/>
    </row>
    <row r="7" spans="1:6">
      <c r="A7" s="4" t="s">
        <v>7</v>
      </c>
      <c r="B7" s="5">
        <v>1.8</v>
      </c>
      <c r="F7" s="2"/>
    </row>
    <row r="8" spans="1:6">
      <c r="A8" s="4" t="s">
        <v>8</v>
      </c>
      <c r="B8" s="5">
        <v>6</v>
      </c>
      <c r="F8" s="2"/>
    </row>
    <row r="9" spans="1:6">
      <c r="A9" s="4" t="s">
        <v>9</v>
      </c>
      <c r="B9" s="5">
        <v>8</v>
      </c>
      <c r="F9" s="2"/>
    </row>
    <row r="10" spans="1:6">
      <c r="A10" s="4" t="s">
        <v>10</v>
      </c>
      <c r="B10" s="5">
        <v>120</v>
      </c>
      <c r="F10" s="2"/>
    </row>
    <row r="11" spans="1:6">
      <c r="A11" s="4" t="s">
        <v>11</v>
      </c>
      <c r="B11" s="5">
        <v>150</v>
      </c>
      <c r="F11" s="2"/>
    </row>
    <row r="12" spans="1:6">
      <c r="A12" s="4" t="s">
        <v>12</v>
      </c>
      <c r="B12" s="5">
        <v>24</v>
      </c>
      <c r="F12" s="2"/>
    </row>
    <row r="13" spans="1:6">
      <c r="A13" s="4" t="s">
        <v>13</v>
      </c>
      <c r="B13" s="5">
        <v>600</v>
      </c>
      <c r="F13" s="2" t="s">
        <v>14</v>
      </c>
    </row>
    <row r="15" spans="1:6">
      <c r="A15" s="3" t="s">
        <v>15</v>
      </c>
      <c r="B15" s="3" t="s">
        <v>16</v>
      </c>
      <c r="C15" s="3"/>
      <c r="D15" s="3"/>
      <c r="E15" s="3"/>
      <c r="F15" s="3" t="s">
        <v>17</v>
      </c>
    </row>
    <row r="16" spans="1:6">
      <c r="A16" s="4" t="s">
        <v>18</v>
      </c>
      <c r="B16" s="6">
        <f>CVX.VARIABLE(1,1,"qty_bread")</f>
        <v>0</v>
      </c>
      <c r="F16" s="2" t="s">
        <v>19</v>
      </c>
    </row>
    <row r="17" spans="1:6">
      <c r="A17" s="4" t="s">
        <v>20</v>
      </c>
      <c r="B17" s="6">
        <f>CVX.VARIABLE(1,1,"qty_milk")</f>
        <v>0</v>
      </c>
      <c r="F17" s="2" t="s">
        <v>21</v>
      </c>
    </row>
    <row r="18" spans="1:6">
      <c r="A18" s="4" t="s">
        <v>22</v>
      </c>
      <c r="B18" s="6">
        <f>CVX.EXPRESSION("2.5 * qty_bread + 1.8 * qty_milk","weekly_cost")</f>
        <v>0</v>
      </c>
      <c r="F18" s="2" t="s">
        <v>23</v>
      </c>
    </row>
    <row r="19" spans="1:6">
      <c r="A19" s="4" t="s">
        <v>24</v>
      </c>
      <c r="B19" s="6">
        <f>CVX.CONSTRAINT("6 * qty_bread + 8 * qty_milk &gt;= 24","protein_requirement")</f>
        <v>0</v>
      </c>
      <c r="F19" s="2" t="s">
        <v>25</v>
      </c>
    </row>
    <row r="20" spans="1:6">
      <c r="A20" s="4" t="s">
        <v>26</v>
      </c>
      <c r="B20" s="6">
        <f>CVX.CONSTRAINT("120 * qty_bread + 150 * qty_milk &gt;= 600","calorie_requirement")</f>
        <v>0</v>
      </c>
      <c r="F20" s="2" t="s">
        <v>27</v>
      </c>
    </row>
    <row r="21" spans="1:6">
      <c r="A21" s="4" t="s">
        <v>28</v>
      </c>
      <c r="B21" s="6">
        <f>CVX.CONSTRAINT("qty_bread &gt;= 0","bread_nonneg")</f>
        <v>0</v>
      </c>
      <c r="F21" s="2" t="s">
        <v>29</v>
      </c>
    </row>
    <row r="22" spans="1:6">
      <c r="A22" s="4" t="s">
        <v>30</v>
      </c>
      <c r="B22" s="6">
        <f>CVX.CONSTRAINT("qty_milk &gt;= 0","milk_nonneg")</f>
        <v>0</v>
      </c>
      <c r="F22" s="2" t="s">
        <v>31</v>
      </c>
    </row>
    <row r="23" spans="1:6">
      <c r="A23" s="4" t="s">
        <v>32</v>
      </c>
      <c r="B23" s="6">
        <f>CVX.CONSTRAINTS(B19:B22,"diet_constraints")</f>
        <v>0</v>
      </c>
      <c r="F23" s="2" t="s">
        <v>33</v>
      </c>
    </row>
    <row r="24" spans="1:6">
      <c r="A24" s="4" t="s">
        <v>34</v>
      </c>
      <c r="B24" s="6">
        <f>CVX.MINIMIZE(B18,"minimize_cost")</f>
        <v>0</v>
      </c>
      <c r="F24" s="2" t="s">
        <v>35</v>
      </c>
    </row>
    <row r="25" spans="1:6">
      <c r="A25" s="4" t="s">
        <v>36</v>
      </c>
      <c r="B25" s="6">
        <f>CVX.PROBLEM(B24,B23,"diet_problem")</f>
        <v>0</v>
      </c>
      <c r="F25" s="2" t="s">
        <v>37</v>
      </c>
    </row>
    <row r="26" spans="1:6">
      <c r="A26" s="4" t="s">
        <v>38</v>
      </c>
      <c r="B26" s="6">
        <f>CVX.SOLVE(B25,"diet_result")</f>
        <v>0</v>
      </c>
      <c r="F26" s="2" t="s">
        <v>39</v>
      </c>
    </row>
    <row r="28" spans="1:6">
      <c r="A28" s="3" t="s">
        <v>40</v>
      </c>
      <c r="B28" s="3" t="s">
        <v>41</v>
      </c>
      <c r="C28" s="3"/>
      <c r="D28" s="3"/>
      <c r="E28" s="3"/>
      <c r="F28" s="3" t="s">
        <v>42</v>
      </c>
    </row>
    <row r="29" spans="1:6">
      <c r="A29" s="4" t="s">
        <v>43</v>
      </c>
      <c r="B29" s="7">
        <f>CVX.STATUS(B26)</f>
        <v>0</v>
      </c>
      <c r="F29" s="2" t="s">
        <v>44</v>
      </c>
    </row>
    <row r="30" spans="1:6">
      <c r="A30" s="4" t="s">
        <v>45</v>
      </c>
      <c r="B30" s="7">
        <f>CVX.OBJECTIVE_VALUE(B26)</f>
        <v>0</v>
      </c>
      <c r="F30" s="2" t="s">
        <v>46</v>
      </c>
    </row>
    <row r="31" spans="1:6">
      <c r="A31" s="4" t="s">
        <v>47</v>
      </c>
      <c r="B31" s="7">
        <f>CVX.VALUE(B26,B16)</f>
        <v>0</v>
      </c>
      <c r="F31" s="2" t="s">
        <v>48</v>
      </c>
    </row>
    <row r="32" spans="1:6">
      <c r="A32" s="4" t="s">
        <v>49</v>
      </c>
      <c r="B32" s="7">
        <f>CVX.VALUE(B26,B17)</f>
        <v>0</v>
      </c>
      <c r="F32" s="2" t="s">
        <v>50</v>
      </c>
    </row>
    <row r="33" spans="1:6">
      <c r="A33" s="4" t="s">
        <v>51</v>
      </c>
      <c r="B33" s="7">
        <f>CVX.DESCRIBE(B20)</f>
        <v>0</v>
      </c>
      <c r="F33" s="2" t="s">
        <v>52</v>
      </c>
    </row>
    <row r="34" spans="1:6">
      <c r="A34" s="4" t="s">
        <v>53</v>
      </c>
      <c r="B34" s="7">
        <f>CVX.DESCRIBE(B21)</f>
        <v>0</v>
      </c>
      <c r="F34" s="2" t="s">
        <v>54</v>
      </c>
    </row>
  </sheetData>
  <mergeCells count="6">
    <mergeCell ref="A1:F1"/>
    <mergeCell ref="A2:F2"/>
    <mergeCell ref="A3:F3"/>
    <mergeCell ref="B5:E5"/>
    <mergeCell ref="B15:E15"/>
    <mergeCell ref="B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Diet Problem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2026-10-07T14:11:06Z</dcterms:created>
  <dcterms:modified xsi:type="dcterms:W3CDTF">2026-10-07T14:11:06Z</dcterms:modified>
</cp:coreProperties>
</file>